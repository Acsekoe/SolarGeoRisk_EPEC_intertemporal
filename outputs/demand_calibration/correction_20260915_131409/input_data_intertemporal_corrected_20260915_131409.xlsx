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9a425f1de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af5f48c814e945ef"/>
    <x:sheet xmlns:r="http://schemas.openxmlformats.org/officeDocument/2006/relationships" name="regions" sheetId="2" r:id="Rab9ecbdce3614847"/>
    <x:sheet xmlns:r="http://schemas.openxmlformats.org/officeDocument/2006/relationships" name="params_region_new" sheetId="10" r:id="Rfa10b801981c4393"/>
    <x:sheet xmlns:r="http://schemas.openxmlformats.org/officeDocument/2006/relationships" name="c_ship" sheetId="4" r:id="R301dc4e1024b49ae"/>
    <x:sheet xmlns:r="http://schemas.openxmlformats.org/officeDocument/2006/relationships" name="README" sheetId="5" r:id="Rcd855fe78dac4f11"/>
    <x:sheet xmlns:r="http://schemas.openxmlformats.org/officeDocument/2006/relationships" name="initial_state" sheetId="7" r:id="R4e60b67b50ee4c49"/>
    <x:sheet xmlns:r="http://schemas.openxmlformats.org/officeDocument/2006/relationships" name="initial_state_0" sheetId="11" r:id="Rd3217193fb8b4924"/>
    <x:sheet xmlns:r="http://schemas.openxmlformats.org/officeDocument/2006/relationships" name="research" sheetId="8" r:id="R37ceeffd0da14917"/>
    <x:sheet xmlns:r="http://schemas.openxmlformats.org/officeDocument/2006/relationships" name="old_demand" sheetId="9" r:id="R5c55aff787da49fd"/>
    <x:sheet xmlns:r="http://schemas.openxmlformats.org/officeDocument/2006/relationships" name="params_region_OLD" sheetId="3" r:id="Raa705dafe1ab410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N1" authorId="0">
      <x:text>
        <x:r>
          <x:t>Full-demand threshold price p_full, set equal to regional WTP in USD/kW.</x:t>
        </x:r>
      </x:text>
    </x:comment>
    <x:comment ref="O1" authorId="0">
      <x:text>
        <x:r>
          <x:t>Absolute value of demand elasticity used for base calibration scenario.</x:t>
        </x:r>
      </x:text>
    </x:comment>
    <x:comment ref="P1" authorId="0">
      <x:text>
        <x:r>
          <x:t>Inverse-demand intercept a_dem = p_full*(1+1/eps_abs_base). Unit: USD/kW.</x:t>
        </x:r>
      </x:text>
    </x:comment>
    <x:comment ref="Q1" authorId="0">
      <x:text>
        <x:r>
          <x:t>Inverse-demand intercept a_dem = p_full*(1+1/eps_abs_base). Unit: USD/kW.</x:t>
        </x:r>
      </x:text>
    </x:comment>
    <x:comment ref="R1" authorId="0">
      <x:text>
        <x:r>
          <x:t>Inverse-demand intercept a_dem = p_full*(1+1/eps_abs_base). Unit: USD/kW.</x:t>
        </x:r>
      </x:text>
    </x:comment>
    <x:comment ref="S1" authorId="0">
      <x:text>
        <x:r>
          <x:t>Inverse-demand intercept a_dem = p_full*(1+1/eps_abs_base). Unit: USD/kW.</x:t>
        </x:r>
      </x:text>
    </x:comment>
    <x:comment ref="T1" authorId="0">
      <x:text>
        <x:r>
          <x:t>Inverse-demand slope b_dem_2025 = p_full/(eps_abs_base*dmax_2025). Unit: (USD/kW)/GW.</x:t>
        </x:r>
      </x:text>
    </x:comment>
    <x:comment ref="U1" authorId="0">
      <x:text>
        <x:r>
          <x:t>Inverse-demand slope b_dem_2030 = p_full/(eps_abs_base*dmax_2030). Unit: (USD/kW)/GW.</x:t>
        </x:r>
      </x:text>
    </x:comment>
    <x:comment ref="V1" authorId="0">
      <x:text>
        <x:r>
          <x:t>Inverse-demand slope b_dem_2035 = p_full/(eps_abs_base*dmax_2035). Unit: (USD/kW)/GW.</x:t>
        </x:r>
      </x:text>
    </x:comment>
    <x:comment ref="W1" authorId="0">
      <x:text>
        <x:r>
          <x:t>Inverse-demand slope b_dem_2040 = p_full/(eps_abs_base*dmax_2040). Unit: (USD/kW)/GW.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N1" authorId="0">
      <x:text>
        <x:r>
          <x:t>Full-demand threshold price p_full, set equal to regional WTP in USD/kW.</x:t>
        </x:r>
      </x:text>
    </x:comment>
    <x:comment ref="O1" authorId="0">
      <x:text>
        <x:r>
          <x:t>Absolute value of demand elasticity used for base calibration scenario.</x:t>
        </x:r>
      </x:text>
    </x:comment>
    <x:comment ref="P1" authorId="0">
      <x:text>
        <x:r>
          <x:t>Inverse-demand intercept a_dem = p_full*(1+1/eps_abs_base). Unit: USD/kW.</x:t>
        </x:r>
      </x:text>
    </x:comment>
    <x:comment ref="Q1" authorId="0">
      <x:text>
        <x:r>
          <x:t>Inverse-demand intercept a_dem = p_full*(1+1/eps_abs_base). Unit: USD/kW.</x:t>
        </x:r>
      </x:text>
    </x:comment>
    <x:comment ref="R1" authorId="0">
      <x:text>
        <x:r>
          <x:t>Inverse-demand intercept a_dem = p_full*(1+1/eps_abs_base). Unit: USD/kW.</x:t>
        </x:r>
      </x:text>
    </x:comment>
    <x:comment ref="S1" authorId="0">
      <x:text>
        <x:r>
          <x:t>Inverse-demand intercept a_dem = p_full*(1+1/eps_abs_base). Unit: USD/kW.</x:t>
        </x:r>
      </x:text>
    </x:comment>
    <x:comment ref="T1" authorId="0">
      <x:text>
        <x:r>
          <x:t>Inverse-demand slope b_dem_2025 = p_full/(eps_abs_base*dmax_2025). Unit: (USD/kW)/GW.</x:t>
        </x:r>
      </x:text>
    </x:comment>
    <x:comment ref="U1" authorId="0">
      <x:text>
        <x:r>
          <x:t>Inverse-demand slope b_dem_2030 = p_full/(eps_abs_base*dmax_2030). Unit: (USD/kW)/GW.</x:t>
        </x:r>
      </x:text>
    </x:comment>
    <x:comment ref="V1" authorId="0">
      <x:text>
        <x:r>
          <x:t>Inverse-demand slope b_dem_2035 = p_full/(eps_abs_base*dmax_2035). Unit: (USD/kW)/GW.</x:t>
        </x:r>
      </x:text>
    </x:comment>
    <x:comment ref="W1" authorId="0">
      <x:text>
        <x:r>
          <x:t>Inverse-demand slope b_dem_2040 = p_full/(eps_abs_base*dmax_2040). Unit: (USD/kW)/GW.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<x:sst xmlns:x="http://schemas.openxmlformats.org/spreadsheetml/2006/main">
  <x:si>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setting</x:t>
  </x:si>
  <x:si>
    <x:t xml:space="preserve">value</x:t>
  </x:si>
  <x:si>
    <x:t xml:space="preserve">tau_max</x:t>
  </x:si>
  <x:si>
    <x:t xml:space="preserve">players</x:t>
  </x:si>
  <x:si>
    <x:t xml:space="preserve">ch,eu,us,apac,af,row</x:t>
  </x:si>
  <x:si>
    <x:t xml:space="preserve">damping_eta</x:t>
  </x:si>
  <x:si>
    <x:t xml:space="preserve">eps_comp</x:t>
  </x:si>
  <x:si>
    <x:t xml:space="preserve">eps_x</x:t>
  </x:si>
  <x:si>
    <x:t xml:space="preserve">scenario_welfare</x:t>
  </x:si>
  <x:si>
    <x:t xml:space="preserve">capitalistic_players</x:t>
  </x:si>
  <x:si>
    <x:t xml:space="preserve">use_quad</x:t>
  </x:si>
  <x:si>
    <x:t xml:space="preserve">scenario_capitalistic_china</x:t>
  </x:si>
  <x:si>
    <x:t xml:space="preserve">region</x:t>
  </x:si>
  <x:si>
    <x:t xml:space="preserve">region_name</x:t>
  </x:si>
  <x:si>
    <x:t xml:space="preserve">ch</x:t>
  </x:si>
  <x:si>
    <x:t xml:space="preserve">China</x:t>
  </x:si>
  <x:si>
    <x:t xml:space="preserve">eu</x:t>
  </x:si>
  <x:si>
    <x:t xml:space="preserve">Europe</x:t>
  </x:si>
  <x:si>
    <x:t xml:space="preserve">us</x:t>
  </x:si>
  <x:si>
    <x:t xml:space="preserve">North America</x:t>
  </x:si>
  <x:si>
    <x:t xml:space="preserve">apac</x:t>
  </x:si>
  <x:si>
    <x:t xml:space="preserve">Asia (APAC+ROA)</x:t>
  </x:si>
  <x:si>
    <x:t xml:space="preserve">af</x:t>
  </x:si>
  <x:si>
    <x:t xml:space="preserve">Africa</x:t>
  </x:si>
  <x:si>
    <x:t xml:space="preserve">row</x:t>
  </x:si>
  <x:si>
    <x:t xml:space="preserve">Rest of World</x:t>
  </x:si>
  <x:si>
    <x:t xml:space="preserve">qcap_exist_gw</x:t>
  </x:si>
  <x:si>
    <x:t xml:space="preserve">dmax_2025_gw</x:t>
  </x:si>
  <x:si>
    <x:t xml:space="preserve">dmax_2030_gw</x:t>
  </x:si>
  <x:si>
    <x:t xml:space="preserve">dmax_2035_gw</x:t>
  </x:si>
  <x:si>
    <x:t xml:space="preserve">dmax_2040_gw</x:t>
  </x:si>
  <x:si>
    <x:t xml:space="preserve">c_man_usd_per_kw</x:t>
  </x:si>
  <x:si>
    <x:t xml:space="preserve">c_inv_musd_per_gw_per_yr</x:t>
  </x:si>
  <x:si>
    <x:t xml:space="preserve">c_hold_musd_per_gw_per_yr</x:t>
  </x:si>
  <x:si>
    <x:t xml:space="preserve">g_exp_ub_per_yr_gw</x:t>
  </x:si>
  <x:si>
    <x:t xml:space="preserve">g_dec_ub_per_yr</x:t>
  </x:si>
  <x:si>
    <x:t xml:space="preserve">p_offer_max_usd_per_kw</x:t>
  </x:si>
  <x:si>
    <x:t xml:space="preserve">rho_p_scalar</x:t>
  </x:si>
  <x:si>
    <x:t xml:space="preserve">p_full_usd_per_kw</x:t>
  </x:si>
  <x:si>
    <x:t xml:space="preserve">eps_abs_base_scalar</x:t>
  </x:si>
  <x:si>
    <x:t xml:space="preserve">a_dem_2025_usd_per_kw</x:t>
  </x:si>
  <x:si>
    <x:t xml:space="preserve">a_dem_2030_usd_per_kw</x:t>
  </x:si>
  <x:si>
    <x:t xml:space="preserve">a_dem_2035_usd_per_kw</x:t>
  </x:si>
  <x:si>
    <x:t xml:space="preserve">a_dem_2040_usd_per_kw</x:t>
  </x:si>
  <x:si>
    <x:t xml:space="preserve">b_dem_2025_usd_per_kw_per_gw</x:t>
  </x:si>
  <x:si>
    <x:t xml:space="preserve">b_dem_2030_usd_per_kw_per_gw</x:t>
  </x:si>
  <x:si>
    <x:t xml:space="preserve">b_dem_2035_usd_per_kw_per_gw</x:t>
  </x:si>
  <x:si>
    <x:t xml:space="preserve">b_dem_2040_usd_per_kw_per_gw</x:t>
  </x:si>
  <x:si>
    <x:t xml:space="preserve">roa</x:t>
  </x:si>
  <x:si>
    <x:t xml:space="preserve">exporter</x:t>
  </x:si>
  <x:si>
    <x:t xml:space="preserve">README</x:t>
  </x:si>
  <x:si>
    <x:t xml:space="preserve">t</x:t>
  </x:si>
  <x:si>
    <x:t xml:space="preserve">Q_offer</x:t>
  </x:si>
  <x:si>
    <x:t xml:space="preserve">dK_net</x:t>
  </x:si>
  <x:si>
    <x:t xml:space="preserve">a_bid</x:t>
  </x:si>
  <x:si>
    <x:t xml:space="preserve">p_offer_ch</x:t>
  </x:si>
  <x:si>
    <x:t xml:space="preserve">p_offer_eu</x:t>
  </x:si>
  <x:si>
    <x:t xml:space="preserve">p_offer_us</x:t>
  </x:si>
  <x:si>
    <x:t xml:space="preserve">p_offer_apac</x:t>
  </x:si>
  <x:si>
    <x:t xml:space="preserve">p_offer_af</x:t>
  </x:si>
  <x:si>
    <x:t xml:space="preserve">p_offer_row</x:t>
  </x:si>
  <x:si>
    <x:t xml:space="preserve">2025</x:t>
  </x:si>
  <x:si>
    <x:t xml:space="preserve">2030</x:t>
  </x:si>
  <x:si>
    <x:t xml:space="preserve">2035</x:t>
  </x:si>
  <x:si>
    <x:t xml:space="preserve">2040</x:t>
  </x:si>
  <x:si>
    <x:t xml:space="preserve">2045</x:t>
  </x:si>
  <x:si>
    <x:t xml:space="preserve">Renewables 2025</x:t>
  </x:si>
  <x:si>
    <x:t xml:space="preserve">2025-2030</x:t>
  </x:si>
  <x:si>
    <x:t xml:space="preserve">from regioanal summaries </x:t>
  </x:si>
  <x:si>
    <x:t xml:space="preserve">china</x:t>
  </x:si>
  <x:si>
    <x:t xml:space="preserve">EU</x:t>
  </x:si>
  <x:si>
    <x:t xml:space="preserve">Asia Pacific</x:t>
  </x:si>
  <x:si>
    <x:t xml:space="preserve">US</x:t>
  </x:si>
  <x:si>
    <x:t xml:space="preserve">ROW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</x:si>
</x:sst>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b/>
      <x:sz val="11"/>
      <x:name val="Calibri"/>
    </x:font>
    <x:font>
      <x:sz val="11"/>
      <x:color theme="10"/>
      <x:name val="Calibri"/>
    </x:font>
    <x:font>
      <x:sz val="11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13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2" fillId="0" borderId="2" xfId="0" applyFont="1" applyBorder="1" applyAlignment="1">
      <x:alignment horizontal="center" vertical="top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/>
    </x:xf>
    <x:xf numFmtId="2" fontId="0" fillId="0" borderId="0" xfId="0" applyNumberFormat="1"/>
    <x:xf numFmtId="164" fontId="0" fillId="0" borderId="0" xfId="0" applyNumberFormat="1"/>
    <x:xf numFmtId="0" fontId="1" fillId="0" borderId="0" xfId="0" applyFont="1"/>
    <x:xf numFmtId="0" fontId="3" fillId="0" borderId="3" xfId="0" applyFont="1" applyBorder="1" applyAlignment="1">
      <x:alignment horizontal="center" vertical="top"/>
    </x:xf>
    <x:xf numFmtId="0" fontId="4" fillId="0" borderId="0" xfId="1"/>
    <x:xf numFmtId="3" fontId="5" fillId="0" borderId="0" xfId="0" applyNumberFormat="1" applyFont="1" applyAlignment="1">
      <x:alignment horizontal="right"/>
    </x:xf>
    <x:xf numFmtId="4" fontId="0" fillId="0" borderId="0" xfId="0" applyNumberFormat="1"/>
    <x:xf numFmtId="4" fontId="5" fillId="0" borderId="0" xfId="0" applyNumberFormat="1" applyFont="1" applyAlignment="1">
      <x:alignment horizontal="right"/>
    </x:xf>
  </x:cellXfs>
  <x:cellStyles count="2">
    <x:cellStyle name="Link" xfId="1"/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3c4127723b4282" /><Relationship Type="http://schemas.openxmlformats.org/officeDocument/2006/relationships/theme" Target="/xl/theme/theme1.xml" Id="R75419b35ac7c457a" /><Relationship Type="http://schemas.openxmlformats.org/officeDocument/2006/relationships/sharedStrings" Target="/xl/sharedStrings.xml" Id="R1df5b21f80e5434e" /><Relationship Type="http://schemas.openxmlformats.org/officeDocument/2006/relationships/worksheet" Target="/xl/worksheets/sheet1.xml" Id="Raf5f48c814e945ef" /><Relationship Type="http://schemas.openxmlformats.org/officeDocument/2006/relationships/worksheet" Target="/xl/worksheets/sheet2.xml" Id="Rab9ecbdce3614847" /><Relationship Type="http://schemas.openxmlformats.org/officeDocument/2006/relationships/worksheet" Target="/xl/worksheets/sheet3.xml" Id="Rfa10b801981c4393" /><Relationship Type="http://schemas.openxmlformats.org/officeDocument/2006/relationships/worksheet" Target="/xl/worksheets/sheet4.xml" Id="R301dc4e1024b49ae" /><Relationship Type="http://schemas.openxmlformats.org/officeDocument/2006/relationships/worksheet" Target="/xl/worksheets/sheet5.xml" Id="Rcd855fe78dac4f11" /><Relationship Type="http://schemas.openxmlformats.org/officeDocument/2006/relationships/worksheet" Target="/xl/worksheets/sheet6.xml" Id="R4e60b67b50ee4c49" /><Relationship Type="http://schemas.openxmlformats.org/officeDocument/2006/relationships/worksheet" Target="/xl/worksheets/sheet7.xml" Id="Rd3217193fb8b4924" /><Relationship Type="http://schemas.openxmlformats.org/officeDocument/2006/relationships/worksheet" Target="/xl/worksheets/sheet8.xml" Id="R37ceeffd0da14917" /><Relationship Type="http://schemas.openxmlformats.org/officeDocument/2006/relationships/worksheet" Target="/xl/worksheets/sheet9.xml" Id="R5c55aff787da49fd" /><Relationship Type="http://schemas.openxmlformats.org/officeDocument/2006/relationships/worksheet" Target="/xl/worksheets/sheet10.xml" Id="Raa705dafe1ab4108" /><Relationship Type="http://schemas.microsoft.com/office/2017/10/relationships/person" Target="/xl/persons/person.xml" Id="Rb964d20fb55749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da6a492220f4b8e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647700</xdr:colOff>
      <xdr:row>2</xdr:row>
      <xdr:rowOff>31623</xdr:rowOff>
    </xdr:from>
    <xdr:to>
      <xdr:col>14</xdr:col>
      <xdr:colOff>753846</xdr:colOff>
      <xdr:row>22</xdr:row>
      <xdr:rowOff>95936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a6a492220f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B6CC7490-5561-9178-A1EE-78A50AD4FB6B}"/>
  <xltc:person displayName="OpenAI" id="{6B1C186B-6C01-0CB2-479E-7E580CEC0CF1}"/>
</xltc:personList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5ff61654515e4516" /><Relationship Type="http://schemas.openxmlformats.org/officeDocument/2006/relationships/vmlDrawing" Target="/xl/drawings/vmldrawing.vml" Id="R214a6a11f27340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hyperlink" Target="https://iea.blob.core.windows.net/assets/76ad6eac-2aa6-4c55-9a55-b8dc0dba9f9e/Renewables2025.pdf" TargetMode="External" Id="Rbabab1dca4f94d42" /><Relationship Type="http://schemas.openxmlformats.org/officeDocument/2006/relationships/drawing" Target="/xl/drawings/drawing1.xml" Id="R3c89b2bc7b3d4d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2.xml" Id="R6a8fe3218ae54cdc" /><Relationship Type="http://schemas.openxmlformats.org/officeDocument/2006/relationships/vmlDrawing" Target="/xl/drawings/vmldrawing2.vml" Id="R5421a6d50c96467b" /></Relationships>
</file>

<file path=xl/worksheets/sheet1.xml><?xml version="1.0" encoding="utf-8"?>
<x:worksheet xmlns:x="http://schemas.openxmlformats.org/spreadsheetml/2006/main">
  <x:sheetFormatPr baseColWidth="10" defaultColWidth="9.140625" defaultRowHeight="15"/>
  <x:sheetData>
    <x:row r="1">
      <x:c r="A1" s="1" t="s">
        <x:v>0</x:v>
      </x:c>
      <x:c r="B1" s="1" t="s">
        <x:v>1</x:v>
      </x:c>
    </x:row>
    <x:row r="2">
      <x:c r="A2" t="s">
        <x:v>2</x:v>
      </x:c>
    </x:row>
    <x:row r="3">
      <x:c r="A3" t="s">
        <x:v>3</x:v>
      </x:c>
      <x:c r="B3" t="s">
        <x:v>4</x:v>
      </x:c>
    </x:row>
    <x:row r="4">
      <x:c r="A4" t="s">
        <x:v>5</x:v>
      </x:c>
    </x:row>
    <x:row r="5">
      <x:c r="A5" t="s">
        <x:v>6</x:v>
      </x:c>
    </x:row>
    <x:row r="6">
      <x:c r="A6" t="s">
        <x:v>7</x:v>
      </x:c>
    </x:row>
    <x:row r="7">
      <x:c r="A7" t="s">
        <x:v>8</x:v>
      </x:c>
    </x:row>
    <x:row r="8">
      <x:c r="A8" t="s">
        <x:v>9</x:v>
      </x:c>
    </x:row>
    <x:row r="9">
      <x:c r="A9" t="s">
        <x:v>10</x:v>
      </x:c>
    </x:row>
    <x:row r="10">
      <x:c r="A10" t="s">
        <x:v>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.140625" defaultRowHeight="15"/>
  <x:sheetData>
    <x:row r="1">
      <x:c r="A1" s="1" t="s">
        <x:v>12</x:v>
      </x:c>
      <x:c r="B1" s="1" t="s">
        <x:v>13</x:v>
      </x:c>
    </x:row>
    <x:row r="2">
      <x:c r="A2" t="s">
        <x:v>14</x:v>
      </x:c>
      <x:c r="B2" t="s">
        <x:v>15</x:v>
      </x:c>
    </x:row>
    <x:row r="3">
      <x:c r="A3" t="s">
        <x:v>16</x:v>
      </x:c>
      <x:c r="B3" t="s">
        <x:v>17</x:v>
      </x:c>
    </x:row>
    <x:row r="4">
      <x:c r="A4" t="s">
        <x:v>18</x:v>
      </x:c>
      <x:c r="B4" t="s">
        <x:v>19</x:v>
      </x:c>
    </x:row>
    <x:row r="5">
      <x:c r="A5" t="s">
        <x:v>20</x:v>
      </x:c>
      <x:c r="B5" t="s">
        <x:v>21</x:v>
      </x:c>
    </x:row>
    <x:row r="6">
      <x:c r="A6" t="s">
        <x:v>22</x:v>
      </x:c>
      <x:c r="B6" t="s">
        <x:v>23</x:v>
      </x:c>
    </x:row>
    <x:row r="7">
      <x:c r="A7" t="s">
        <x:v>24</x:v>
      </x:c>
      <x:c r="B7" t="s">
        <x:v>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40625" defaultRowHeight="15"/>
  <x:cols>
    <x:col min="1" max="1" width="10" customWidth="1"/>
    <x:col min="2" max="2" width="14" customWidth="1"/>
    <x:col min="3" max="3" width="21.42578125" customWidth="1"/>
    <x:col min="4" max="4" width="18.7109375" customWidth="1"/>
    <x:col min="5" max="6" width="20.28515625" customWidth="1"/>
    <x:col min="7" max="7" width="25.7109375" customWidth="1"/>
    <x:col min="8" max="8" width="26" customWidth="1"/>
    <x:col min="9" max="9" width="30.5703125" customWidth="1"/>
    <x:col min="10" max="10" width="20.42578125" customWidth="1"/>
    <x:col min="11" max="11" width="23.140625" customWidth="1"/>
    <x:col min="12" max="12" width="28" customWidth="1"/>
    <x:col min="13" max="13" width="16.5703125" customWidth="1"/>
    <x:col min="14" max="14" width="18" customWidth="1"/>
    <x:col min="15" max="15" width="27.85546875" customWidth="1"/>
    <x:col min="16" max="16" width="25.42578125" customWidth="1"/>
    <x:col min="17" max="17" width="24.140625" customWidth="1"/>
    <x:col min="18" max="18" width="22.85546875" customWidth="1"/>
    <x:col min="19" max="19" width="28.5703125" customWidth="1"/>
    <x:col min="20" max="20" width="31.85546875" customWidth="1"/>
    <x:col min="21" max="21" width="31.42578125" customWidth="1"/>
    <x:col min="22" max="22" width="42.7109375" customWidth="1"/>
    <x:col min="23" max="23" width="38.42578125" customWidth="1"/>
  </x:cols>
  <x:sheetData>
    <x:row r="1">
      <x:c r="A1" s="2" t="s">
        <x:v>12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  <x:c r="H1" s="2" t="s">
        <x:v>32</x:v>
      </x:c>
      <x:c r="I1" s="2" t="s">
        <x:v>33</x:v>
      </x:c>
      <x:c r="J1" s="2" t="s">
        <x:v>34</x:v>
      </x:c>
      <x:c r="K1" s="2" t="s">
        <x:v>35</x:v>
      </x:c>
      <x:c r="L1" s="2" t="s">
        <x:v>36</x:v>
      </x:c>
      <x:c r="M1" s="2" t="s">
        <x:v>37</x:v>
      </x:c>
      <x:c r="N1" s="2" t="s">
        <x:v>38</x:v>
      </x:c>
      <x:c r="O1" s="2" t="s">
        <x:v>39</x:v>
      </x:c>
      <x:c r="P1" s="2" t="s">
        <x:v>40</x:v>
      </x:c>
      <x:c r="Q1" s="2" t="s">
        <x:v>41</x:v>
      </x:c>
      <x:c r="R1" s="2" t="s">
        <x:v>42</x:v>
      </x:c>
      <x:c r="S1" s="2" t="s">
        <x:v>43</x:v>
      </x:c>
      <x:c r="T1" s="2" t="s">
        <x:v>44</x:v>
      </x:c>
      <x:c r="U1" s="2" t="s">
        <x:v>45</x:v>
      </x:c>
      <x:c r="V1" s="2" t="s">
        <x:v>46</x:v>
      </x:c>
      <x:c r="W1" s="2" t="s">
        <x:v>47</x:v>
      </x:c>
    </x:row>
    <x:row r="2">
      <x:c r="A2" t="s">
        <x:v>14</x:v>
      </x:c>
      <x:c r="B2">
        <x:v>931</x:v>
      </x:c>
      <x:c r="C2">
        <x:v>280</x:v>
      </x:c>
      <x:c r="D2">
        <x:v>350</x:v>
      </x:c>
      <x:c r="E2">
        <x:v>333</x:v>
      </x:c>
      <x:c r="F2">
        <x:v>316</x:v>
      </x:c>
      <x:c r="G2">
        <x:v>163</x:v>
      </x:c>
      <x:c r="H2">
        <x:v>50</x:v>
      </x:c>
      <x:c r="I2" t="n">
        <x:f t="shared" ref="I2:I7" si="0">H2*0.05</x:f>
        <x:v>2.5</x:v>
      </x:c>
      <x:c r="J2">
        <x:v>27.4</x:v>
      </x:c>
      <x:c r="K2">
        <x:v>1</x:v>
      </x:c>
      <x:c r="L2">
        <x:v>2000</x:v>
      </x:c>
      <x:c r="M2">
        <x:v>1E-3</x:v>
      </x:c>
      <x:c r="N2" s="5">
        <x:v>521.41999999999996</x:v>
      </x:c>
      <x:c r="O2" s="5">
        <x:v>0.9</x:v>
      </x:c>
      <x:c r="P2" s="5" t="n">
        <x:f t="shared" ref="P2:S7" si="1">$N2*(1+1/$O2)</x:f>
        <x:v>1100.7755555555555</x:v>
      </x:c>
      <x:c r="Q2" s="5" t="n">
        <x:f t="shared" si="1">$N2*(1+1/$O2)</x:f>
        <x:v>1100.7755555555555</x:v>
      </x:c>
      <x:c r="R2" s="5" t="n">
        <x:f t="shared" si="1">$N2*(1+1/$O2)</x:f>
        <x:v>1100.7755555555555</x:v>
      </x:c>
      <x:c r="S2" s="5" t="n">
        <x:f t="shared" si="1">$N2*(1+1/$O2)</x:f>
        <x:v>1100.7755555555555</x:v>
      </x:c>
      <x:c r="T2" s="6" t="n">
        <x:f>$N2/($O2*$C2)</x:f>
        <x:v>2.069126984126984</x:v>
      </x:c>
      <x:c r="U2" s="6" t="n">
        <x:f>$N2/($O2*$D2)</x:f>
        <x:v>1.6553015873015873</x:v>
      </x:c>
      <x:c r="V2" s="6" t="n">
        <x:f>$N2/($O2*$E2)</x:f>
        <x:v>1.7398064731398064</x:v>
      </x:c>
      <x:c r="W2" s="6" t="n">
        <x:f>$N2/($O2*$F2)</x:f>
        <x:v>1.833403656821378</x:v>
      </x:c>
    </x:row>
    <x:row r="3">
      <x:c r="A3" t="s">
        <x:v>16</x:v>
      </x:c>
      <x:c r="B3">
        <x:v>22</x:v>
      </x:c>
      <x:c r="C3">
        <x:v>75</x:v>
      </x:c>
      <x:c r="D3">
        <x:v>90</x:v>
      </x:c>
      <x:c r="E3">
        <x:v>95</x:v>
      </x:c>
      <x:c r="F3">
        <x:v>99</x:v>
      </x:c>
      <x:c r="G3">
        <x:v>299.25</x:v>
      </x:c>
      <x:c r="H3">
        <x:v>175</x:v>
      </x:c>
      <x:c r="I3">
        <x:f t="shared" si="0"/>
        <x:v>8.75</x:v>
      </x:c>
      <x:c r="J3">
        <x:v>2.67</x:v>
      </x:c>
      <x:c r="K3">
        <x:v>1</x:v>
      </x:c>
      <x:c r="L3">
        <x:v>2000</x:v>
      </x:c>
      <x:c r="M3">
        <x:v>1E-3</x:v>
      </x:c>
      <x:c r="N3" s="5">
        <x:v>967.65</x:v>
      </x:c>
      <x:c r="O3" s="5">
        <x:v>0.9</x:v>
      </x:c>
      <x:c r="P3" s="5" t="n">
        <x:f t="shared" si="1">$N3*(1+1/$O3)</x:f>
        <x:v>2042.8166666666666</x:v>
      </x:c>
      <x:c r="Q3" s="5" t="n">
        <x:f t="shared" si="1">$N3*(1+1/$O3)</x:f>
        <x:v>2042.8166666666666</x:v>
      </x:c>
      <x:c r="R3" s="5" t="n">
        <x:f t="shared" si="1">$N3*(1+1/$O3)</x:f>
        <x:v>2042.8166666666666</x:v>
      </x:c>
      <x:c r="S3" s="5" t="n">
        <x:f t="shared" si="1">$N3*(1+1/$O3)</x:f>
        <x:v>2042.8166666666666</x:v>
      </x:c>
      <x:c r="T3" s="6" t="n">
        <x:f>$N3/($O3*$C3)</x:f>
        <x:v>14.335555555555555</x:v>
      </x:c>
      <x:c r="U3" s="6" t="n">
        <x:f>$N3/($O3*$D3)</x:f>
        <x:v>11.946296296296296</x:v>
      </x:c>
      <x:c r="V3" s="6" t="n">
        <x:f>$N3/($O3*$E3)</x:f>
        <x:v>11.317543859649122</x:v>
      </x:c>
      <x:c r="W3" s="6" t="n">
        <x:f>$N3/($O3*$F3)</x:f>
        <x:v>10.86026936026936</x:v>
      </x:c>
    </x:row>
    <x:row r="4">
      <x:c r="A4" t="s">
        <x:v>18</x:v>
      </x:c>
      <x:c r="B4">
        <x:v>42</x:v>
      </x:c>
      <x:c r="C4">
        <x:v>45</x:v>
      </x:c>
      <x:c r="D4">
        <x:v>65</x:v>
      </x:c>
      <x:c r="E4">
        <x:v>70</x:v>
      </x:c>
      <x:c r="F4">
        <x:v>75</x:v>
      </x:c>
      <x:c r="G4">
        <x:v>321.25</x:v>
      </x:c>
      <x:c r="H4">
        <x:v>175</x:v>
      </x:c>
      <x:c r="I4">
        <x:f t="shared" si="0"/>
        <x:v>8.75</x:v>
      </x:c>
      <x:c r="J4">
        <x:v>5.33</x:v>
      </x:c>
      <x:c r="K4">
        <x:v>1</x:v>
      </x:c>
      <x:c r="L4">
        <x:v>2000</x:v>
      </x:c>
      <x:c r="M4">
        <x:v>1E-3</x:v>
      </x:c>
      <x:c r="N4" s="5">
        <x:v>561.07000000000005</x:v>
      </x:c>
      <x:c r="O4" s="5">
        <x:v>0.9</x:v>
      </x:c>
      <x:c r="P4" s="5" t="n">
        <x:f t="shared" si="1">$N4*(1+1/$O4)</x:f>
        <x:v>1184.4811111111112</x:v>
      </x:c>
      <x:c r="Q4" s="5" t="n">
        <x:f t="shared" si="1">$N4*(1+1/$O4)</x:f>
        <x:v>1184.4811111111112</x:v>
      </x:c>
      <x:c r="R4" s="5" t="n">
        <x:f t="shared" si="1">$N4*(1+1/$O4)</x:f>
        <x:v>1184.4811111111112</x:v>
      </x:c>
      <x:c r="S4" s="5" t="n">
        <x:f t="shared" si="1">$N4*(1+1/$O4)</x:f>
        <x:v>1184.4811111111112</x:v>
      </x:c>
      <x:c r="T4" s="6" t="n">
        <x:f>$N4/($O4*$C4)</x:f>
        <x:v>13.853580246913582</x:v>
      </x:c>
      <x:c r="U4" s="6" t="n">
        <x:f>$N4/($O4*$D4)</x:f>
        <x:v>9.590940170940172</x:v>
      </x:c>
      <x:c r="V4" s="6" t="n">
        <x:f>$N4/($O4*$E4)</x:f>
        <x:v>8.905873015873016</x:v>
      </x:c>
      <x:c r="W4" s="6" t="n">
        <x:f>$N4/($O4*$F4)</x:f>
        <x:v>8.312148148148149</x:v>
      </x:c>
    </x:row>
    <x:row r="5">
      <x:c r="A5" t="s">
        <x:v>48</x:v>
      </x:c>
      <x:c r="B5">
        <x:v>110</x:v>
      </x:c>
      <x:c r="C5">
        <x:v>50</x:v>
      </x:c>
      <x:c r="D5">
        <x:v>85</x:v>
      </x:c>
      <x:c r="E5">
        <x:v>103</x:v>
      </x:c>
      <x:c r="F5">
        <x:v>126</x:v>
      </x:c>
      <x:c r="G5">
        <x:v>265.75</x:v>
      </x:c>
      <x:c r="H5">
        <x:v>57.5</x:v>
      </x:c>
      <x:c r="I5">
        <x:f t="shared" si="0"/>
        <x:v>2.875</x:v>
      </x:c>
      <x:c r="J5">
        <x:v>12.67</x:v>
      </x:c>
      <x:c r="K5">
        <x:v>1</x:v>
      </x:c>
      <x:c r="L5">
        <x:v>2000</x:v>
      </x:c>
      <x:c r="M5">
        <x:v>1E-3</x:v>
      </x:c>
      <x:c r="N5" s="5">
        <x:v>534.14</x:v>
      </x:c>
      <x:c r="O5" s="5">
        <x:v>0.9</x:v>
      </x:c>
      <x:c r="P5" s="5" t="n">
        <x:f t="shared" si="1">$N5*(1+1/$O5)</x:f>
        <x:v>1127.628888888889</x:v>
      </x:c>
      <x:c r="Q5" s="5" t="n">
        <x:f t="shared" si="1">$N5*(1+1/$O5)</x:f>
        <x:v>1127.628888888889</x:v>
      </x:c>
      <x:c r="R5" s="5" t="n">
        <x:f t="shared" si="1">$N5*(1+1/$O5)</x:f>
        <x:v>1127.628888888889</x:v>
      </x:c>
      <x:c r="S5" s="5" t="n">
        <x:f t="shared" si="1">$N5*(1+1/$O5)</x:f>
        <x:v>1127.628888888889</x:v>
      </x:c>
      <x:c r="T5" s="6" t="n">
        <x:f>$N5/($O5*$C5)</x:f>
        <x:v>11.869777777777777</x:v>
      </x:c>
      <x:c r="U5" s="6" t="n">
        <x:f>$N5/($O5*$D5)</x:f>
        <x:v>6.982222222222222</x:v>
      </x:c>
      <x:c r="V5" s="6" t="n">
        <x:f>$N5/($O5*$E5)</x:f>
        <x:v>5.76202804746494</x:v>
      </x:c>
      <x:c r="W5" s="6" t="n">
        <x:f>$N5/($O5*$F5)</x:f>
        <x:v>4.7102292768959435</x:v>
      </x:c>
    </x:row>
    <x:row r="6">
      <x:c r="A6" t="s">
        <x:v>22</x:v>
      </x:c>
      <x:c r="B6">
        <x:v>3.4</x:v>
      </x:c>
      <x:c r="C6">
        <x:v>5</x:v>
      </x:c>
      <x:c r="D6">
        <x:v>10</x:v>
      </x:c>
      <x:c r="E6">
        <x:v>14</x:v>
      </x:c>
      <x:c r="F6">
        <x:v>20</x:v>
      </x:c>
      <x:c r="G6">
        <x:v>180.93</x:v>
      </x:c>
      <x:c r="H6">
        <x:v>150</x:v>
      </x:c>
      <x:c r="I6">
        <x:f t="shared" si="0"/>
        <x:v>7.5</x:v>
      </x:c>
      <x:c r="J6">
        <x:v>0.5</x:v>
      </x:c>
      <x:c r="K6">
        <x:v>1</x:v>
      </x:c>
      <x:c r="L6">
        <x:v>2000</x:v>
      </x:c>
      <x:c r="M6">
        <x:v>1E-3</x:v>
      </x:c>
      <x:c r="N6" s="5">
        <x:v>1135.5999999999999</x:v>
      </x:c>
      <x:c r="O6" s="5">
        <x:v>0.9</x:v>
      </x:c>
      <x:c r="P6" s="5" t="n">
        <x:f t="shared" si="1">$N6*(1+1/$O6)</x:f>
        <x:v>2397.3777777777777</x:v>
      </x:c>
      <x:c r="Q6" s="5" t="n">
        <x:f t="shared" si="1">$N6*(1+1/$O6)</x:f>
        <x:v>2397.3777777777777</x:v>
      </x:c>
      <x:c r="R6" s="5" t="n">
        <x:f t="shared" si="1">$N6*(1+1/$O6)</x:f>
        <x:v>2397.3777777777777</x:v>
      </x:c>
      <x:c r="S6" s="5" t="n">
        <x:f t="shared" si="1">$N6*(1+1/$O6)</x:f>
        <x:v>2397.3777777777777</x:v>
      </x:c>
      <x:c r="T6" s="6" t="n">
        <x:f>$N6/($O6*$C6)</x:f>
        <x:v>252.35555555555553</x:v>
      </x:c>
      <x:c r="U6" s="6" t="n">
        <x:f>$N6/($O6*$D6)</x:f>
        <x:v>126.17777777777776</x:v>
      </x:c>
      <x:c r="V6" s="6" t="n">
        <x:f>$N6/($O6*$E6)</x:f>
        <x:v>90.12698412698413</x:v>
      </x:c>
      <x:c r="W6" s="6" t="n">
        <x:f>$N6/($O6*$F6)</x:f>
        <x:v>63.08888888888888</x:v>
      </x:c>
    </x:row>
    <x:row r="7">
      <x:c r="A7" t="s">
        <x:v>24</x:v>
      </x:c>
      <x:c r="B7">
        <x:v>293</x:v>
      </x:c>
      <x:c r="C7">
        <x:v>45</x:v>
      </x:c>
      <x:c r="D7">
        <x:v>70</x:v>
      </x:c>
      <x:c r="E7">
        <x:v>79</x:v>
      </x:c>
      <x:c r="F7">
        <x:v>89</x:v>
      </x:c>
      <x:c r="G7">
        <x:v>353.38</x:v>
      </x:c>
      <x:c r="H7">
        <x:v>125</x:v>
      </x:c>
      <x:c r="I7">
        <x:f t="shared" si="0"/>
        <x:v>6.25</x:v>
      </x:c>
      <x:c r="J7">
        <x:v>4.33</x:v>
      </x:c>
      <x:c r="K7">
        <x:v>1</x:v>
      </x:c>
      <x:c r="L7">
        <x:v>2000</x:v>
      </x:c>
      <x:c r="M7">
        <x:v>1E-3</x:v>
      </x:c>
      <x:c r="N7" s="5">
        <x:v>969.52</x:v>
      </x:c>
      <x:c r="O7" s="5">
        <x:v>0.9</x:v>
      </x:c>
      <x:c r="P7" s="5" t="n">
        <x:f t="shared" si="1">$N7*(1+1/$O7)</x:f>
        <x:v>2046.7644444444445</x:v>
      </x:c>
      <x:c r="Q7" s="5" t="n">
        <x:f t="shared" si="1">$N7*(1+1/$O7)</x:f>
        <x:v>2046.7644444444445</x:v>
      </x:c>
      <x:c r="R7" s="5" t="n">
        <x:f t="shared" si="1">$N7*(1+1/$O7)</x:f>
        <x:v>2046.7644444444445</x:v>
      </x:c>
      <x:c r="S7" s="5" t="n">
        <x:f t="shared" si="1">$N7*(1+1/$O7)</x:f>
        <x:v>2046.7644444444445</x:v>
      </x:c>
      <x:c r="T7" s="6" t="n">
        <x:f>$N7/($O7*$C7)</x:f>
        <x:v>23.938765432098766</x:v>
      </x:c>
      <x:c r="U7" s="6" t="n">
        <x:f>$N7/($O7*$D7)</x:f>
        <x:v>15.389206349206349</x:v>
      </x:c>
      <x:c r="V7" s="6" t="n">
        <x:f>$N7/($O7*$E7)</x:f>
        <x:v>13.636005625879042</x:v>
      </x:c>
      <x:c r="W7" s="6" t="n">
        <x:f>$N7/($O7*$F7)</x:f>
        <x:v>12.103870162297127</x:v>
      </x:c>
    </x:row>
    <x:row r="8">
      <x:c r="T8" s="4"/>
      <x:c r="U8" s="4"/>
      <x:c r="V8" s="4"/>
    </x:row>
    <x:row r="9">
      <x:c r="B9" s="7"/>
    </x:row>
    <x:row r="10">
      <x:c r="A10" s="4"/>
      <x:c r="C10" s="4"/>
    </x:row>
    <x:row r="11">
      <x:c r="A11" s="4"/>
      <x:c r="C11" s="4"/>
    </x:row>
    <x:row r="12">
      <x:c r="A12" s="4"/>
    </x:row>
    <x:row r="13" ht="30.600000381469727" customHeight="1">
      <x:c r="A13" s="4"/>
    </x:row>
    <x:row r="14">
      <x:c r="A14" s="4"/>
      <x:c r="C14" s="5"/>
    </x:row>
    <x:row r="15">
      <x:c r="A15" s="4"/>
      <x:c r="C15" s="5"/>
    </x:row>
    <x:row r="16">
      <x:c r="A16" s="4"/>
      <x:c r="C16" s="5"/>
    </x:row>
    <x:row r="17">
      <x:c r="C17" s="5"/>
    </x:row>
    <x:row r="18">
      <x:c r="C18" s="5"/>
    </x:row>
    <x:row r="19">
      <x:c r="C19" s="5"/>
    </x:row>
    <x:row r="24">
      <x:c r="R24" s="3"/>
    </x:row>
    <x:row r="25">
      <x:c r="R25" s="3"/>
    </x:row>
    <x:row r="26">
      <x:c r="C26" s="5"/>
      <x:c r="R26" s="3"/>
      <x:c r="S26" s="3"/>
      <x:c r="T26" s="3"/>
      <x:c r="U26" s="3"/>
    </x:row>
  </x:sheetData>
  <x:pageMargins left="0.7" right="0.7" top="0.75" bottom="0.75" header="0.3" footer="0.3"/>
  <x:legacyDrawing xmlns:r="http://schemas.openxmlformats.org/officeDocument/2006/relationships" r:id="R214a6a11f273401f"/>
</x:worksheet>
</file>

<file path=xl/worksheets/sheet4.xml><?xml version="1.0" encoding="utf-8"?>
<x:worksheet xmlns:x="http://schemas.openxmlformats.org/spreadsheetml/2006/main">
  <x:sheetFormatPr baseColWidth="10" defaultColWidth="9.140625" defaultRowHeight="15"/>
  <x:sheetData>
    <x:row r="1">
      <x:c r="A1" t="s">
        <x:v>49</x:v>
      </x:c>
      <x:c r="B1" t="s">
        <x:v>14</x:v>
      </x:c>
      <x:c r="C1" t="s">
        <x:v>16</x:v>
      </x:c>
      <x:c r="D1" t="s">
        <x:v>18</x:v>
      </x:c>
      <x:c r="E1" t="s">
        <x:v>20</x:v>
      </x:c>
      <x:c r="F1" t="s">
        <x:v>22</x:v>
      </x:c>
      <x:c r="G1" t="s">
        <x:v>24</x:v>
      </x:c>
    </x:row>
    <x:row r="2">
      <x:c r="A2" t="s">
        <x:v>14</x:v>
      </x:c>
      <x:c r="B2">
        <x:v>0</x:v>
      </x:c>
      <x:c r="C2">
        <x:v>16.117999999999999</x:v>
      </x:c>
      <x:c r="D2">
        <x:v>11.132999999999999</x:v>
      </x:c>
      <x:c r="E2">
        <x:v>13.78042157888167</x:v>
      </x:c>
      <x:c r="F2">
        <x:v>10.5</x:v>
      </x:c>
      <x:c r="G2">
        <x:v>14.59645230960589</x:v>
      </x:c>
    </x:row>
    <x:row r="3">
      <x:c r="A3" t="s">
        <x:v>16</x:v>
      </x:c>
      <x:c r="B3">
        <x:v>16.117999999999999</x:v>
      </x:c>
      <x:c r="C3">
        <x:v>0</x:v>
      </x:c>
      <x:c r="D3">
        <x:v>18.760000000000002</x:v>
      </x:c>
      <x:c r="E3">
        <x:v>18.133640203215091</x:v>
      </x:c>
      <x:c r="F3">
        <x:v>9.8000000000000007</x:v>
      </x:c>
      <x:c r="G3">
        <x:v>8.4362881656626847</x:v>
      </x:c>
    </x:row>
    <x:row r="4">
      <x:c r="A4" t="s">
        <x:v>18</x:v>
      </x:c>
      <x:c r="B4">
        <x:v>24.731000000000002</x:v>
      </x:c>
      <x:c r="C4">
        <x:v>9.3970000000000002</x:v>
      </x:c>
      <x:c r="D4">
        <x:v>0</x:v>
      </x:c>
      <x:c r="E4">
        <x:v>14.737656155323689</x:v>
      </x:c>
      <x:c r="F4">
        <x:v>14.2</x:v>
      </x:c>
      <x:c r="G4">
        <x:v>14.449824965889</x:v>
      </x:c>
    </x:row>
    <x:row r="5">
      <x:c r="A5" t="s">
        <x:v>20</x:v>
      </x:c>
      <x:c r="B5">
        <x:v>13.232892950285249</x:v>
      </x:c>
      <x:c r="C5">
        <x:v>16.307173512632438</x:v>
      </x:c>
      <x:c r="D5">
        <x:v>13.710080806845969</x:v>
      </x:c>
      <x:c r="E5">
        <x:v>0</x:v>
      </x:c>
      <x:c r="F5">
        <x:v>13.172616136919309</x:v>
      </x:c>
      <x:c r="G5">
        <x:v>18.882414716557939</x:v>
      </x:c>
    </x:row>
    <x:row r="6">
      <x:c r="A6" t="s">
        <x:v>22</x:v>
      </x:c>
      <x:c r="B6">
        <x:v>4.5</x:v>
      </x:c>
      <x:c r="C6">
        <x:v>6.2</x:v>
      </x:c>
      <x:c r="D6">
        <x:v>8.5</x:v>
      </x:c>
      <x:c r="E6">
        <x:v>7.024572127139364</x:v>
      </x:c>
      <x:c r="F6">
        <x:v>0</x:v>
      </x:c>
      <x:c r="G6">
        <x:v>7.5</x:v>
      </x:c>
    </x:row>
    <x:row r="7">
      <x:c r="A7" t="s">
        <x:v>24</x:v>
      </x:c>
      <x:c r="B7">
        <x:v>14.122395904436861</x:v>
      </x:c>
      <x:c r="C7">
        <x:v>8.123641638225255</x:v>
      </x:c>
      <x:c r="D7">
        <x:v>13.78744368600683</x:v>
      </x:c>
      <x:c r="E7">
        <x:v>19.752714320654551</x:v>
      </x:c>
      <x:c r="F7">
        <x:v>12.5</x:v>
      </x:c>
      <x:c r="G7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.140625" defaultRowHeight="15"/>
  <x:sheetData>
    <x:row r="1">
      <x:c r="A1" s="1" t="s">
        <x:v>50</x:v>
      </x:c>
    </x:row>
    <x:row r="2">
      <x:c r="A2" t="str">
        <x:v>Solar supply chain model input data (updated demand calibration)
Header naming convention:
- lower-case snake_case
- unit suffixes embedded in the header name
Demand calibration (base case):
- p_full_usd_per_kw = regional full-demand threshold price, set equal to WTP
- eps_abs_base_scalar = 0.90
- a_dem_t_usd_per_kw = p_full * (1 + 1 / eps_abs_base)
- b_dem_t_usd_per_kw_per_gw = p_full / (eps_abs_base * dmax_t)
Core units:
- prices and manufacturing costs: usd_per_kw
- capacities and demand caps: gw
- investment / holding costs: musd_per_gw_per_yr
Validation and terminal period:
- The loader verifies explicit a_dem and b_dem values against p_full, eps_abs_base, and Dmax before each run.
- 2045 is the terminal buffer period. Because no 2045 demand columns are supplied, it intentionally inherits the 2040 Dmax, a_dem, and b_dem values.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.140625" defaultRowHeight="15"/>
  <x:cols>
    <x:col min="3" max="3" width="13.42578125" customWidth="1"/>
    <x:col min="4" max="4" width="19" customWidth="1"/>
    <x:col min="5" max="5" width="13.7109375" customWidth="1"/>
    <x:col min="6" max="6" width="20" customWidth="1"/>
    <x:col min="7" max="7" width="20.5703125" customWidth="1"/>
    <x:col min="8" max="8" width="17.42578125" customWidth="1"/>
    <x:col min="9" max="9" width="19.140625" customWidth="1"/>
    <x:col min="10" max="10" width="19.7109375" customWidth="1"/>
    <x:col min="11" max="11" width="31.7109375" customWidth="1"/>
  </x:cols>
  <x:sheetData>
    <x:row r="1">
      <x:c r="A1" s="8" t="s">
        <x:v>12</x:v>
      </x:c>
      <x:c r="B1" s="8" t="s">
        <x:v>51</x:v>
      </x:c>
      <x:c r="C1" s="8" t="s">
        <x:v>52</x:v>
      </x:c>
      <x:c r="D1" s="8" t="s">
        <x:v>53</x:v>
      </x:c>
      <x:c r="E1" s="8" t="s">
        <x:v>54</x:v>
      </x:c>
      <x:c r="F1" s="8" t="s">
        <x:v>55</x:v>
      </x:c>
      <x:c r="G1" s="8" t="s">
        <x:v>56</x:v>
      </x:c>
      <x:c r="H1" s="8" t="s">
        <x:v>57</x:v>
      </x:c>
      <x:c r="I1" s="8" t="s">
        <x:v>58</x:v>
      </x:c>
      <x:c r="J1" s="8" t="s">
        <x:v>59</x:v>
      </x:c>
      <x:c r="K1" s="8" t="s">
        <x:v>60</x:v>
      </x:c>
    </x:row>
    <x:row r="2">
      <x:c r="A2" t="s">
        <x:v>14</x:v>
      </x:c>
      <x:c r="B2" t="s">
        <x:v>61</x:v>
      </x:c>
      <x:c r="C2">
        <x:v>931</x:v>
      </x:c>
      <x:c r="D2">
        <x:v>13.7</x:v>
      </x:c>
      <x:c r="E2">
        <x:v>1100.775555555555</x:v>
      </x:c>
      <x:c r="F2">
        <x:v>163</x:v>
      </x:c>
      <x:c r="G2">
        <x:v>163</x:v>
      </x:c>
      <x:c r="H2">
        <x:v>163</x:v>
      </x:c>
      <x:c r="I2">
        <x:v>163</x:v>
      </x:c>
      <x:c r="J2">
        <x:v>163</x:v>
      </x:c>
      <x:c r="K2">
        <x:v>163</x:v>
      </x:c>
    </x:row>
    <x:row r="3">
      <x:c r="A3" t="s">
        <x:v>16</x:v>
      </x:c>
      <x:c r="B3" t="s">
        <x:v>61</x:v>
      </x:c>
      <x:c r="C3">
        <x:v>22</x:v>
      </x:c>
      <x:c r="D3">
        <x:v>1.8</x:v>
      </x:c>
      <x:c r="E3">
        <x:v>2042.8166666666671</x:v>
      </x:c>
      <x:c r="F3">
        <x:v>299.25</x:v>
      </x:c>
      <x:c r="G3">
        <x:v>299.25</x:v>
      </x:c>
      <x:c r="H3">
        <x:v>299.25</x:v>
      </x:c>
      <x:c r="I3">
        <x:v>299.25</x:v>
      </x:c>
      <x:c r="J3">
        <x:v>299.25</x:v>
      </x:c>
      <x:c r="K3">
        <x:v>299.25</x:v>
      </x:c>
    </x:row>
    <x:row r="4">
      <x:c r="A4" t="s">
        <x:v>18</x:v>
      </x:c>
      <x:c r="B4" t="s">
        <x:v>61</x:v>
      </x:c>
      <x:c r="C4">
        <x:v>42</x:v>
      </x:c>
      <x:c r="D4">
        <x:v>7.25</x:v>
      </x:c>
      <x:c r="E4">
        <x:v>1184.481111111111</x:v>
      </x:c>
      <x:c r="F4">
        <x:v>321.25</x:v>
      </x:c>
      <x:c r="G4">
        <x:v>321.25</x:v>
      </x:c>
      <x:c r="H4">
        <x:v>321.25</x:v>
      </x:c>
      <x:c r="I4">
        <x:v>321.25</x:v>
      </x:c>
      <x:c r="J4">
        <x:v>321.25</x:v>
      </x:c>
      <x:c r="K4">
        <x:v>321.25</x:v>
      </x:c>
    </x:row>
    <x:row r="5">
      <x:c r="A5" t="s">
        <x:v>20</x:v>
      </x:c>
      <x:c r="B5" t="s">
        <x:v>61</x:v>
      </x:c>
      <x:c r="C5">
        <x:v>110</x:v>
      </x:c>
      <x:c r="D5">
        <x:v>1.6239999999999994</x:v>
      </x:c>
      <x:c r="E5">
        <x:v>1127.6288888888889</x:v>
      </x:c>
      <x:c r="F5">
        <x:v>265.75</x:v>
      </x:c>
      <x:c r="G5">
        <x:v>265.75</x:v>
      </x:c>
      <x:c r="H5">
        <x:v>265.75</x:v>
      </x:c>
      <x:c r="I5">
        <x:v>265.75</x:v>
      </x:c>
      <x:c r="J5">
        <x:v>265.75</x:v>
      </x:c>
      <x:c r="K5">
        <x:v>265.75</x:v>
      </x:c>
    </x:row>
    <x:row r="6">
      <x:c r="A6" t="s">
        <x:v>22</x:v>
      </x:c>
      <x:c r="B6" t="s">
        <x:v>61</x:v>
      </x:c>
      <x:c r="C6">
        <x:v>3.4</x:v>
      </x:c>
      <x:c r="D6">
        <x:v>0.1</x:v>
      </x:c>
      <x:c r="E6">
        <x:v>2397.3777777777782</x:v>
      </x:c>
      <x:c r="F6">
        <x:v>180.93</x:v>
      </x:c>
      <x:c r="G6">
        <x:v>180.93</x:v>
      </x:c>
      <x:c r="H6">
        <x:v>180.93</x:v>
      </x:c>
      <x:c r="I6">
        <x:v>180.93</x:v>
      </x:c>
      <x:c r="J6">
        <x:v>180.93</x:v>
      </x:c>
      <x:c r="K6">
        <x:v>180.93</x:v>
      </x:c>
    </x:row>
    <x:row r="7">
      <x:c r="A7" t="s">
        <x:v>24</x:v>
      </x:c>
      <x:c r="B7" t="s">
        <x:v>61</x:v>
      </x:c>
      <x:c r="C7">
        <x:v>293</x:v>
      </x:c>
      <x:c r="D7">
        <x:v>4.3399999999999981</x:v>
      </x:c>
      <x:c r="E7">
        <x:v>2046.764444444445</x:v>
      </x:c>
      <x:c r="F7">
        <x:v>353.38</x:v>
      </x:c>
      <x:c r="G7">
        <x:v>353.38</x:v>
      </x:c>
      <x:c r="H7">
        <x:v>353.38</x:v>
      </x:c>
      <x:c r="I7">
        <x:v>353.38</x:v>
      </x:c>
      <x:c r="J7">
        <x:v>353.38</x:v>
      </x:c>
      <x:c r="K7">
        <x:v>353.38</x:v>
      </x:c>
    </x:row>
    <x:row r="8">
      <x:c r="A8" t="s">
        <x:v>14</x:v>
      </x:c>
      <x:c r="B8" t="s">
        <x:v>62</x:v>
      </x:c>
      <x:c r="C8">
        <x:v>931</x:v>
      </x:c>
      <x:c r="D8">
        <x:v>13.7</x:v>
      </x:c>
      <x:c r="E8">
        <x:v>1100.775555555555</x:v>
      </x:c>
      <x:c r="F8">
        <x:v>163</x:v>
      </x:c>
      <x:c r="G8">
        <x:v>163</x:v>
      </x:c>
      <x:c r="H8">
        <x:v>163</x:v>
      </x:c>
      <x:c r="I8">
        <x:v>163</x:v>
      </x:c>
      <x:c r="J8">
        <x:v>163</x:v>
      </x:c>
      <x:c r="K8">
        <x:v>163</x:v>
      </x:c>
    </x:row>
    <x:row r="9">
      <x:c r="A9" t="s">
        <x:v>16</x:v>
      </x:c>
      <x:c r="B9" t="s">
        <x:v>62</x:v>
      </x:c>
      <x:c r="C9">
        <x:v>22</x:v>
      </x:c>
      <x:c r="D9">
        <x:v>1.8</x:v>
      </x:c>
      <x:c r="E9">
        <x:v>2042.8166666666671</x:v>
      </x:c>
      <x:c r="F9">
        <x:v>299.25</x:v>
      </x:c>
      <x:c r="G9">
        <x:v>299.25</x:v>
      </x:c>
      <x:c r="H9">
        <x:v>299.25</x:v>
      </x:c>
      <x:c r="I9">
        <x:v>299.25</x:v>
      </x:c>
      <x:c r="J9">
        <x:v>299.25</x:v>
      </x:c>
      <x:c r="K9">
        <x:v>299.25</x:v>
      </x:c>
    </x:row>
    <x:row r="10">
      <x:c r="A10" t="s">
        <x:v>18</x:v>
      </x:c>
      <x:c r="B10" t="s">
        <x:v>62</x:v>
      </x:c>
      <x:c r="C10">
        <x:v>42</x:v>
      </x:c>
      <x:c r="D10">
        <x:v>7.25</x:v>
      </x:c>
      <x:c r="E10">
        <x:v>1184.481111111111</x:v>
      </x:c>
      <x:c r="F10">
        <x:v>321.25</x:v>
      </x:c>
      <x:c r="G10">
        <x:v>321.25</x:v>
      </x:c>
      <x:c r="H10">
        <x:v>321.25</x:v>
      </x:c>
      <x:c r="I10">
        <x:v>321.25</x:v>
      </x:c>
      <x:c r="J10">
        <x:v>321.25</x:v>
      </x:c>
      <x:c r="K10">
        <x:v>321.25</x:v>
      </x:c>
    </x:row>
    <x:row r="11">
      <x:c r="A11" t="s">
        <x:v>20</x:v>
      </x:c>
      <x:c r="B11" t="s">
        <x:v>62</x:v>
      </x:c>
      <x:c r="C11">
        <x:v>110</x:v>
      </x:c>
      <x:c r="D11">
        <x:v>1.6239999999999994</x:v>
      </x:c>
      <x:c r="E11">
        <x:v>1127.6288888888889</x:v>
      </x:c>
      <x:c r="F11">
        <x:v>265.75</x:v>
      </x:c>
      <x:c r="G11">
        <x:v>265.75</x:v>
      </x:c>
      <x:c r="H11">
        <x:v>265.75</x:v>
      </x:c>
      <x:c r="I11">
        <x:v>265.75</x:v>
      </x:c>
      <x:c r="J11">
        <x:v>265.75</x:v>
      </x:c>
      <x:c r="K11">
        <x:v>265.75</x:v>
      </x:c>
    </x:row>
    <x:row r="12">
      <x:c r="A12" t="s">
        <x:v>22</x:v>
      </x:c>
      <x:c r="B12" t="s">
        <x:v>62</x:v>
      </x:c>
      <x:c r="C12">
        <x:v>3.4</x:v>
      </x:c>
      <x:c r="D12">
        <x:v>0.1</x:v>
      </x:c>
      <x:c r="E12">
        <x:v>2397.3777777777782</x:v>
      </x:c>
      <x:c r="F12">
        <x:v>180.93</x:v>
      </x:c>
      <x:c r="G12">
        <x:v>180.93</x:v>
      </x:c>
      <x:c r="H12">
        <x:v>180.93</x:v>
      </x:c>
      <x:c r="I12">
        <x:v>180.93</x:v>
      </x:c>
      <x:c r="J12">
        <x:v>180.93</x:v>
      </x:c>
      <x:c r="K12">
        <x:v>180.93</x:v>
      </x:c>
    </x:row>
    <x:row r="13">
      <x:c r="A13" t="s">
        <x:v>24</x:v>
      </x:c>
      <x:c r="B13" t="s">
        <x:v>62</x:v>
      </x:c>
      <x:c r="C13">
        <x:v>293</x:v>
      </x:c>
      <x:c r="D13">
        <x:v>4.3399999999999981</x:v>
      </x:c>
      <x:c r="E13">
        <x:v>2046.764444444445</x:v>
      </x:c>
      <x:c r="F13">
        <x:v>353.38</x:v>
      </x:c>
      <x:c r="G13">
        <x:v>353.38</x:v>
      </x:c>
      <x:c r="H13">
        <x:v>353.38</x:v>
      </x:c>
      <x:c r="I13">
        <x:v>353.38</x:v>
      </x:c>
      <x:c r="J13">
        <x:v>353.38</x:v>
      </x:c>
      <x:c r="K13">
        <x:v>353.38</x:v>
      </x:c>
    </x:row>
    <x:row r="14">
      <x:c r="A14" t="s">
        <x:v>14</x:v>
      </x:c>
      <x:c r="B14" t="s">
        <x:v>63</x:v>
      </x:c>
      <x:c r="C14">
        <x:v>931</x:v>
      </x:c>
      <x:c r="D14">
        <x:v>13.7</x:v>
      </x:c>
      <x:c r="E14">
        <x:v>1100.775555555555</x:v>
      </x:c>
      <x:c r="F14">
        <x:v>163</x:v>
      </x:c>
      <x:c r="G14">
        <x:v>163</x:v>
      </x:c>
      <x:c r="H14">
        <x:v>163</x:v>
      </x:c>
      <x:c r="I14">
        <x:v>163</x:v>
      </x:c>
      <x:c r="J14">
        <x:v>163</x:v>
      </x:c>
      <x:c r="K14">
        <x:v>163</x:v>
      </x:c>
    </x:row>
    <x:row r="15">
      <x:c r="A15" t="s">
        <x:v>16</x:v>
      </x:c>
      <x:c r="B15" t="s">
        <x:v>63</x:v>
      </x:c>
      <x:c r="C15">
        <x:v>22</x:v>
      </x:c>
      <x:c r="D15">
        <x:v>1.8</x:v>
      </x:c>
      <x:c r="E15">
        <x:v>2042.8166666666671</x:v>
      </x:c>
      <x:c r="F15">
        <x:v>299.25</x:v>
      </x:c>
      <x:c r="G15">
        <x:v>299.25</x:v>
      </x:c>
      <x:c r="H15">
        <x:v>299.25</x:v>
      </x:c>
      <x:c r="I15">
        <x:v>299.25</x:v>
      </x:c>
      <x:c r="J15">
        <x:v>299.25</x:v>
      </x:c>
      <x:c r="K15">
        <x:v>299.25</x:v>
      </x:c>
    </x:row>
    <x:row r="16">
      <x:c r="A16" t="s">
        <x:v>18</x:v>
      </x:c>
      <x:c r="B16" t="s">
        <x:v>63</x:v>
      </x:c>
      <x:c r="C16">
        <x:v>42</x:v>
      </x:c>
      <x:c r="D16">
        <x:v>7.25</x:v>
      </x:c>
      <x:c r="E16">
        <x:v>1184.481111111111</x:v>
      </x:c>
      <x:c r="F16">
        <x:v>321.25</x:v>
      </x:c>
      <x:c r="G16">
        <x:v>321.25</x:v>
      </x:c>
      <x:c r="H16">
        <x:v>321.25</x:v>
      </x:c>
      <x:c r="I16">
        <x:v>321.25</x:v>
      </x:c>
      <x:c r="J16">
        <x:v>321.25</x:v>
      </x:c>
      <x:c r="K16">
        <x:v>321.25</x:v>
      </x:c>
    </x:row>
    <x:row r="17">
      <x:c r="A17" t="s">
        <x:v>20</x:v>
      </x:c>
      <x:c r="B17" t="s">
        <x:v>63</x:v>
      </x:c>
      <x:c r="C17">
        <x:v>110</x:v>
      </x:c>
      <x:c r="D17">
        <x:v>1.6239999999999994</x:v>
      </x:c>
      <x:c r="E17">
        <x:v>1127.6288888888889</x:v>
      </x:c>
      <x:c r="F17">
        <x:v>265.75</x:v>
      </x:c>
      <x:c r="G17">
        <x:v>265.75</x:v>
      </x:c>
      <x:c r="H17">
        <x:v>265.75</x:v>
      </x:c>
      <x:c r="I17">
        <x:v>265.75</x:v>
      </x:c>
      <x:c r="J17">
        <x:v>265.75</x:v>
      </x:c>
      <x:c r="K17">
        <x:v>265.75</x:v>
      </x:c>
    </x:row>
    <x:row r="18">
      <x:c r="A18" t="s">
        <x:v>22</x:v>
      </x:c>
      <x:c r="B18" t="s">
        <x:v>63</x:v>
      </x:c>
      <x:c r="C18">
        <x:v>3.4</x:v>
      </x:c>
      <x:c r="D18">
        <x:v>0.1</x:v>
      </x:c>
      <x:c r="E18">
        <x:v>2397.3777777777782</x:v>
      </x:c>
      <x:c r="F18">
        <x:v>180.93</x:v>
      </x:c>
      <x:c r="G18">
        <x:v>180.93</x:v>
      </x:c>
      <x:c r="H18">
        <x:v>180.93</x:v>
      </x:c>
      <x:c r="I18">
        <x:v>180.93</x:v>
      </x:c>
      <x:c r="J18">
        <x:v>180.93</x:v>
      </x:c>
      <x:c r="K18">
        <x:v>180.93</x:v>
      </x:c>
    </x:row>
    <x:row r="19">
      <x:c r="A19" t="s">
        <x:v>24</x:v>
      </x:c>
      <x:c r="B19" t="s">
        <x:v>63</x:v>
      </x:c>
      <x:c r="C19">
        <x:v>293</x:v>
      </x:c>
      <x:c r="D19">
        <x:v>4.3399999999999981</x:v>
      </x:c>
      <x:c r="E19">
        <x:v>2046.764444444445</x:v>
      </x:c>
      <x:c r="F19">
        <x:v>353.38</x:v>
      </x:c>
      <x:c r="G19">
        <x:v>353.38</x:v>
      </x:c>
      <x:c r="H19">
        <x:v>353.38</x:v>
      </x:c>
      <x:c r="I19">
        <x:v>353.38</x:v>
      </x:c>
      <x:c r="J19">
        <x:v>353.38</x:v>
      </x:c>
      <x:c r="K19">
        <x:v>353.38</x:v>
      </x:c>
    </x:row>
    <x:row r="20">
      <x:c r="A20" t="s">
        <x:v>14</x:v>
      </x:c>
      <x:c r="B20" t="s">
        <x:v>64</x:v>
      </x:c>
      <x:c r="C20">
        <x:v>931</x:v>
      </x:c>
      <x:c r="D20">
        <x:v>13.7</x:v>
      </x:c>
      <x:c r="E20">
        <x:v>1100.775555555555</x:v>
      </x:c>
      <x:c r="F20">
        <x:v>163</x:v>
      </x:c>
      <x:c r="G20">
        <x:v>163</x:v>
      </x:c>
      <x:c r="H20">
        <x:v>163</x:v>
      </x:c>
      <x:c r="I20">
        <x:v>163</x:v>
      </x:c>
      <x:c r="J20">
        <x:v>163</x:v>
      </x:c>
      <x:c r="K20">
        <x:v>163</x:v>
      </x:c>
    </x:row>
    <x:row r="21">
      <x:c r="A21" t="s">
        <x:v>16</x:v>
      </x:c>
      <x:c r="B21" t="s">
        <x:v>64</x:v>
      </x:c>
      <x:c r="C21">
        <x:v>22</x:v>
      </x:c>
      <x:c r="D21">
        <x:v>1.8</x:v>
      </x:c>
      <x:c r="E21">
        <x:v>2042.8166666666671</x:v>
      </x:c>
      <x:c r="F21">
        <x:v>299.25</x:v>
      </x:c>
      <x:c r="G21">
        <x:v>299.25</x:v>
      </x:c>
      <x:c r="H21">
        <x:v>299.25</x:v>
      </x:c>
      <x:c r="I21">
        <x:v>299.25</x:v>
      </x:c>
      <x:c r="J21">
        <x:v>299.25</x:v>
      </x:c>
      <x:c r="K21">
        <x:v>299.25</x:v>
      </x:c>
    </x:row>
    <x:row r="22">
      <x:c r="A22" t="s">
        <x:v>18</x:v>
      </x:c>
      <x:c r="B22" t="s">
        <x:v>64</x:v>
      </x:c>
      <x:c r="C22">
        <x:v>42</x:v>
      </x:c>
      <x:c r="D22">
        <x:v>7.25</x:v>
      </x:c>
      <x:c r="E22">
        <x:v>1184.481111111111</x:v>
      </x:c>
      <x:c r="F22">
        <x:v>321.25</x:v>
      </x:c>
      <x:c r="G22">
        <x:v>321.25</x:v>
      </x:c>
      <x:c r="H22">
        <x:v>321.25</x:v>
      </x:c>
      <x:c r="I22">
        <x:v>321.25</x:v>
      </x:c>
      <x:c r="J22">
        <x:v>321.25</x:v>
      </x:c>
      <x:c r="K22">
        <x:v>321.25</x:v>
      </x:c>
    </x:row>
    <x:row r="23">
      <x:c r="A23" t="s">
        <x:v>20</x:v>
      </x:c>
      <x:c r="B23" t="s">
        <x:v>64</x:v>
      </x:c>
      <x:c r="C23">
        <x:v>110</x:v>
      </x:c>
      <x:c r="D23">
        <x:v>1.6239999999999994</x:v>
      </x:c>
      <x:c r="E23">
        <x:v>1127.6288888888889</x:v>
      </x:c>
      <x:c r="F23">
        <x:v>265.75</x:v>
      </x:c>
      <x:c r="G23">
        <x:v>265.75</x:v>
      </x:c>
      <x:c r="H23">
        <x:v>265.75</x:v>
      </x:c>
      <x:c r="I23">
        <x:v>265.75</x:v>
      </x:c>
      <x:c r="J23">
        <x:v>265.75</x:v>
      </x:c>
      <x:c r="K23">
        <x:v>265.75</x:v>
      </x:c>
    </x:row>
    <x:row r="24">
      <x:c r="A24" t="s">
        <x:v>22</x:v>
      </x:c>
      <x:c r="B24" t="s">
        <x:v>64</x:v>
      </x:c>
      <x:c r="C24">
        <x:v>3.4</x:v>
      </x:c>
      <x:c r="D24">
        <x:v>0.1</x:v>
      </x:c>
      <x:c r="E24">
        <x:v>2397.3777777777782</x:v>
      </x:c>
      <x:c r="F24">
        <x:v>180.93</x:v>
      </x:c>
      <x:c r="G24">
        <x:v>180.93</x:v>
      </x:c>
      <x:c r="H24">
        <x:v>180.93</x:v>
      </x:c>
      <x:c r="I24">
        <x:v>180.93</x:v>
      </x:c>
      <x:c r="J24">
        <x:v>180.93</x:v>
      </x:c>
      <x:c r="K24">
        <x:v>180.93</x:v>
      </x:c>
    </x:row>
    <x:row r="25">
      <x:c r="A25" t="s">
        <x:v>24</x:v>
      </x:c>
      <x:c r="B25" t="s">
        <x:v>64</x:v>
      </x:c>
      <x:c r="C25">
        <x:v>293</x:v>
      </x:c>
      <x:c r="D25">
        <x:v>4.3399999999999981</x:v>
      </x:c>
      <x:c r="E25">
        <x:v>2046.764444444445</x:v>
      </x:c>
      <x:c r="F25">
        <x:v>353.38</x:v>
      </x:c>
      <x:c r="G25">
        <x:v>353.38</x:v>
      </x:c>
      <x:c r="H25">
        <x:v>353.38</x:v>
      </x:c>
      <x:c r="I25">
        <x:v>353.38</x:v>
      </x:c>
      <x:c r="J25">
        <x:v>353.38</x:v>
      </x:c>
      <x:c r="K25">
        <x:v>353.38</x:v>
      </x:c>
    </x:row>
    <x:row r="26">
      <x:c r="A26" t="s">
        <x:v>14</x:v>
      </x:c>
      <x:c r="B26" t="s">
        <x:v>65</x:v>
      </x:c>
      <x:c r="C26">
        <x:v>931</x:v>
      </x:c>
      <x:c r="D26">
        <x:v>13.7</x:v>
      </x:c>
      <x:c r="E26">
        <x:v>1100.775555555555</x:v>
      </x:c>
      <x:c r="F26">
        <x:v>163</x:v>
      </x:c>
      <x:c r="G26">
        <x:v>163</x:v>
      </x:c>
      <x:c r="H26">
        <x:v>163</x:v>
      </x:c>
      <x:c r="I26">
        <x:v>163</x:v>
      </x:c>
      <x:c r="J26">
        <x:v>163</x:v>
      </x:c>
      <x:c r="K26">
        <x:v>163</x:v>
      </x:c>
    </x:row>
    <x:row r="27">
      <x:c r="A27" t="s">
        <x:v>16</x:v>
      </x:c>
      <x:c r="B27" t="s">
        <x:v>65</x:v>
      </x:c>
      <x:c r="C27">
        <x:v>22</x:v>
      </x:c>
      <x:c r="D27">
        <x:v>1.8</x:v>
      </x:c>
      <x:c r="E27">
        <x:v>2042.8166666666671</x:v>
      </x:c>
      <x:c r="F27">
        <x:v>299.25</x:v>
      </x:c>
      <x:c r="G27">
        <x:v>299.25</x:v>
      </x:c>
      <x:c r="H27">
        <x:v>299.25</x:v>
      </x:c>
      <x:c r="I27">
        <x:v>299.25</x:v>
      </x:c>
      <x:c r="J27">
        <x:v>299.25</x:v>
      </x:c>
      <x:c r="K27">
        <x:v>299.25</x:v>
      </x:c>
    </x:row>
    <x:row r="28">
      <x:c r="A28" t="s">
        <x:v>18</x:v>
      </x:c>
      <x:c r="B28" t="s">
        <x:v>65</x:v>
      </x:c>
      <x:c r="C28">
        <x:v>42</x:v>
      </x:c>
      <x:c r="D28">
        <x:v>7.25</x:v>
      </x:c>
      <x:c r="E28">
        <x:v>1184.481111111111</x:v>
      </x:c>
      <x:c r="F28">
        <x:v>321.25</x:v>
      </x:c>
      <x:c r="G28">
        <x:v>321.25</x:v>
      </x:c>
      <x:c r="H28">
        <x:v>321.25</x:v>
      </x:c>
      <x:c r="I28">
        <x:v>321.25</x:v>
      </x:c>
      <x:c r="J28">
        <x:v>321.25</x:v>
      </x:c>
      <x:c r="K28">
        <x:v>321.25</x:v>
      </x:c>
    </x:row>
    <x:row r="29">
      <x:c r="A29" t="s">
        <x:v>20</x:v>
      </x:c>
      <x:c r="B29" t="s">
        <x:v>65</x:v>
      </x:c>
      <x:c r="C29">
        <x:v>110</x:v>
      </x:c>
      <x:c r="D29">
        <x:v>1.6239999999999994</x:v>
      </x:c>
      <x:c r="E29">
        <x:v>1127.6288888888889</x:v>
      </x:c>
      <x:c r="F29">
        <x:v>265.75</x:v>
      </x:c>
      <x:c r="G29">
        <x:v>265.75</x:v>
      </x:c>
      <x:c r="H29">
        <x:v>265.75</x:v>
      </x:c>
      <x:c r="I29">
        <x:v>265.75</x:v>
      </x:c>
      <x:c r="J29">
        <x:v>265.75</x:v>
      </x:c>
      <x:c r="K29">
        <x:v>265.75</x:v>
      </x:c>
    </x:row>
    <x:row r="30">
      <x:c r="A30" t="s">
        <x:v>22</x:v>
      </x:c>
      <x:c r="B30" t="s">
        <x:v>65</x:v>
      </x:c>
      <x:c r="C30">
        <x:v>3.4</x:v>
      </x:c>
      <x:c r="D30">
        <x:v>0.1</x:v>
      </x:c>
      <x:c r="E30">
        <x:v>2397.3777777777782</x:v>
      </x:c>
      <x:c r="F30">
        <x:v>180.93</x:v>
      </x:c>
      <x:c r="G30">
        <x:v>180.93</x:v>
      </x:c>
      <x:c r="H30">
        <x:v>180.93</x:v>
      </x:c>
      <x:c r="I30">
        <x:v>180.93</x:v>
      </x:c>
      <x:c r="J30">
        <x:v>180.93</x:v>
      </x:c>
      <x:c r="K30">
        <x:v>180.93</x:v>
      </x:c>
    </x:row>
    <x:row r="31">
      <x:c r="A31" t="s">
        <x:v>24</x:v>
      </x:c>
      <x:c r="B31" t="s">
        <x:v>65</x:v>
      </x:c>
      <x:c r="C31">
        <x:v>293</x:v>
      </x:c>
      <x:c r="D31">
        <x:v>4.3399999999999981</x:v>
      </x:c>
      <x:c r="E31">
        <x:v>2046.764444444445</x:v>
      </x:c>
      <x:c r="F31">
        <x:v>353.38</x:v>
      </x:c>
      <x:c r="G31">
        <x:v>353.38</x:v>
      </x:c>
      <x:c r="H31">
        <x:v>353.38</x:v>
      </x:c>
      <x:c r="I31">
        <x:v>353.38</x:v>
      </x:c>
      <x:c r="J31">
        <x:v>353.38</x:v>
      </x:c>
      <x:c r="K31">
        <x:v>353.38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5"/>
  <x:cols>
    <x:col min="4" max="4" width="19.140625" customWidth="1"/>
    <x:col min="5" max="5" width="20.7109375" customWidth="1"/>
    <x:col min="6" max="6" width="16.5703125" customWidth="1"/>
    <x:col min="7" max="7" width="16.7109375" customWidth="1"/>
    <x:col min="8" max="8" width="17.5703125" customWidth="1"/>
    <x:col min="9" max="9" width="21.140625" customWidth="1"/>
    <x:col min="10" max="10" width="20.5703125" customWidth="1"/>
    <x:col min="11" max="11" width="26.42578125" customWidth="1"/>
  </x:cols>
  <x:sheetData>
    <x:row r="1">
      <x:c r="A1" s="8" t="s">
        <x:v>12</x:v>
      </x:c>
      <x:c r="B1" s="8" t="s">
        <x:v>51</x:v>
      </x:c>
      <x:c r="C1" s="8" t="s">
        <x:v>52</x:v>
      </x:c>
      <x:c r="D1" s="8" t="s">
        <x:v>53</x:v>
      </x:c>
      <x:c r="E1" s="8" t="s">
        <x:v>54</x:v>
      </x:c>
      <x:c r="F1" s="8" t="s">
        <x:v>55</x:v>
      </x:c>
      <x:c r="G1" s="8" t="s">
        <x:v>56</x:v>
      </x:c>
      <x:c r="H1" s="8" t="s">
        <x:v>57</x:v>
      </x:c>
      <x:c r="I1" s="8" t="s">
        <x:v>58</x:v>
      </x:c>
      <x:c r="J1" s="8" t="s">
        <x:v>59</x:v>
      </x:c>
      <x:c r="K1" s="8" t="s">
        <x:v>60</x:v>
      </x:c>
    </x:row>
    <x:row r="2">
      <x:c r="A2" t="s">
        <x:v>14</x:v>
      </x:c>
      <x:c r="B2" t="s">
        <x:v>61</x:v>
      </x:c>
      <x:c r="C2">
        <x:v>931</x:v>
      </x:c>
      <x:c r="D2">
        <x:v>0</x:v>
      </x:c>
      <x:c r="E2">
        <x:v>1100.775555555555</x:v>
      </x:c>
      <x:c r="F2">
        <x:v>163</x:v>
      </x:c>
      <x:c r="G2">
        <x:v>163</x:v>
      </x:c>
      <x:c r="H2">
        <x:v>163</x:v>
      </x:c>
      <x:c r="I2">
        <x:v>163</x:v>
      </x:c>
      <x:c r="J2">
        <x:v>163</x:v>
      </x:c>
      <x:c r="K2">
        <x:v>163</x:v>
      </x:c>
    </x:row>
    <x:row r="3">
      <x:c r="A3" t="s">
        <x:v>16</x:v>
      </x:c>
      <x:c r="B3" t="s">
        <x:v>61</x:v>
      </x:c>
      <x:c r="C3">
        <x:v>22</x:v>
      </x:c>
      <x:c r="D3">
        <x:v>0</x:v>
      </x:c>
      <x:c r="E3">
        <x:v>2042.8166666666671</x:v>
      </x:c>
      <x:c r="F3">
        <x:v>299.25</x:v>
      </x:c>
      <x:c r="G3">
        <x:v>299.25</x:v>
      </x:c>
      <x:c r="H3">
        <x:v>299.25</x:v>
      </x:c>
      <x:c r="I3">
        <x:v>299.25</x:v>
      </x:c>
      <x:c r="J3">
        <x:v>299.25</x:v>
      </x:c>
      <x:c r="K3">
        <x:v>299.25</x:v>
      </x:c>
    </x:row>
    <x:row r="4">
      <x:c r="A4" t="s">
        <x:v>18</x:v>
      </x:c>
      <x:c r="B4" t="s">
        <x:v>61</x:v>
      </x:c>
      <x:c r="C4">
        <x:v>42</x:v>
      </x:c>
      <x:c r="D4">
        <x:v>0</x:v>
      </x:c>
      <x:c r="E4">
        <x:v>1184.481111111111</x:v>
      </x:c>
      <x:c r="F4">
        <x:v>321.25</x:v>
      </x:c>
      <x:c r="G4">
        <x:v>321.25</x:v>
      </x:c>
      <x:c r="H4">
        <x:v>321.25</x:v>
      </x:c>
      <x:c r="I4">
        <x:v>321.25</x:v>
      </x:c>
      <x:c r="J4">
        <x:v>321.25</x:v>
      </x:c>
      <x:c r="K4">
        <x:v>321.25</x:v>
      </x:c>
    </x:row>
    <x:row r="5">
      <x:c r="A5" t="s">
        <x:v>20</x:v>
      </x:c>
      <x:c r="B5" t="s">
        <x:v>61</x:v>
      </x:c>
      <x:c r="C5">
        <x:v>110</x:v>
      </x:c>
      <x:c r="D5">
        <x:v>0</x:v>
      </x:c>
      <x:c r="E5">
        <x:v>1127.6288888888889</x:v>
      </x:c>
      <x:c r="F5">
        <x:v>265.75</x:v>
      </x:c>
      <x:c r="G5">
        <x:v>265.75</x:v>
      </x:c>
      <x:c r="H5">
        <x:v>265.75</x:v>
      </x:c>
      <x:c r="I5">
        <x:v>265.75</x:v>
      </x:c>
      <x:c r="J5">
        <x:v>265.75</x:v>
      </x:c>
      <x:c r="K5">
        <x:v>265.75</x:v>
      </x:c>
    </x:row>
    <x:row r="6">
      <x:c r="A6" t="s">
        <x:v>22</x:v>
      </x:c>
      <x:c r="B6" t="s">
        <x:v>61</x:v>
      </x:c>
      <x:c r="C6">
        <x:v>3.4</x:v>
      </x:c>
      <x:c r="D6">
        <x:v>0</x:v>
      </x:c>
      <x:c r="E6">
        <x:v>2397.3777777777782</x:v>
      </x:c>
      <x:c r="F6">
        <x:v>180.93</x:v>
      </x:c>
      <x:c r="G6">
        <x:v>180.93</x:v>
      </x:c>
      <x:c r="H6">
        <x:v>180.93</x:v>
      </x:c>
      <x:c r="I6">
        <x:v>180.93</x:v>
      </x:c>
      <x:c r="J6">
        <x:v>180.93</x:v>
      </x:c>
      <x:c r="K6">
        <x:v>180.93</x:v>
      </x:c>
    </x:row>
    <x:row r="7">
      <x:c r="A7" t="s">
        <x:v>24</x:v>
      </x:c>
      <x:c r="B7" t="s">
        <x:v>61</x:v>
      </x:c>
      <x:c r="C7">
        <x:v>293</x:v>
      </x:c>
      <x:c r="D7">
        <x:v>0</x:v>
      </x:c>
      <x:c r="E7">
        <x:v>2046.764444444445</x:v>
      </x:c>
      <x:c r="F7">
        <x:v>353.38</x:v>
      </x:c>
      <x:c r="G7">
        <x:v>353.38</x:v>
      </x:c>
      <x:c r="H7">
        <x:v>353.38</x:v>
      </x:c>
      <x:c r="I7">
        <x:v>353.38</x:v>
      </x:c>
      <x:c r="J7">
        <x:v>353.38</x:v>
      </x:c>
      <x:c r="K7">
        <x:v>353.38</x:v>
      </x:c>
    </x:row>
    <x:row r="8">
      <x:c r="A8" t="s">
        <x:v>14</x:v>
      </x:c>
      <x:c r="B8" t="s">
        <x:v>62</x:v>
      </x:c>
      <x:c r="C8">
        <x:v>931</x:v>
      </x:c>
      <x:c r="D8">
        <x:v>0</x:v>
      </x:c>
      <x:c r="E8">
        <x:v>1100.775555555555</x:v>
      </x:c>
      <x:c r="F8">
        <x:v>163</x:v>
      </x:c>
      <x:c r="G8">
        <x:v>163</x:v>
      </x:c>
      <x:c r="H8">
        <x:v>163</x:v>
      </x:c>
      <x:c r="I8">
        <x:v>163</x:v>
      </x:c>
      <x:c r="J8">
        <x:v>163</x:v>
      </x:c>
      <x:c r="K8">
        <x:v>163</x:v>
      </x:c>
    </x:row>
    <x:row r="9">
      <x:c r="A9" t="s">
        <x:v>16</x:v>
      </x:c>
      <x:c r="B9" t="s">
        <x:v>62</x:v>
      </x:c>
      <x:c r="C9">
        <x:v>22</x:v>
      </x:c>
      <x:c r="D9">
        <x:v>0</x:v>
      </x:c>
      <x:c r="E9">
        <x:v>2042.8166666666671</x:v>
      </x:c>
      <x:c r="F9">
        <x:v>299.25</x:v>
      </x:c>
      <x:c r="G9">
        <x:v>299.25</x:v>
      </x:c>
      <x:c r="H9">
        <x:v>299.25</x:v>
      </x:c>
      <x:c r="I9">
        <x:v>299.25</x:v>
      </x:c>
      <x:c r="J9">
        <x:v>299.25</x:v>
      </x:c>
      <x:c r="K9">
        <x:v>299.25</x:v>
      </x:c>
    </x:row>
    <x:row r="10">
      <x:c r="A10" t="s">
        <x:v>18</x:v>
      </x:c>
      <x:c r="B10" t="s">
        <x:v>62</x:v>
      </x:c>
      <x:c r="C10">
        <x:v>42</x:v>
      </x:c>
      <x:c r="D10">
        <x:v>0</x:v>
      </x:c>
      <x:c r="E10">
        <x:v>1184.481111111111</x:v>
      </x:c>
      <x:c r="F10">
        <x:v>321.25</x:v>
      </x:c>
      <x:c r="G10">
        <x:v>321.25</x:v>
      </x:c>
      <x:c r="H10">
        <x:v>321.25</x:v>
      </x:c>
      <x:c r="I10">
        <x:v>321.25</x:v>
      </x:c>
      <x:c r="J10">
        <x:v>321.25</x:v>
      </x:c>
      <x:c r="K10">
        <x:v>321.25</x:v>
      </x:c>
    </x:row>
    <x:row r="11">
      <x:c r="A11" t="s">
        <x:v>20</x:v>
      </x:c>
      <x:c r="B11" t="s">
        <x:v>62</x:v>
      </x:c>
      <x:c r="C11">
        <x:v>110</x:v>
      </x:c>
      <x:c r="D11">
        <x:v>0</x:v>
      </x:c>
      <x:c r="E11">
        <x:v>1127.6288888888889</x:v>
      </x:c>
      <x:c r="F11">
        <x:v>265.75</x:v>
      </x:c>
      <x:c r="G11">
        <x:v>265.75</x:v>
      </x:c>
      <x:c r="H11">
        <x:v>265.75</x:v>
      </x:c>
      <x:c r="I11">
        <x:v>265.75</x:v>
      </x:c>
      <x:c r="J11">
        <x:v>265.75</x:v>
      </x:c>
      <x:c r="K11">
        <x:v>265.75</x:v>
      </x:c>
    </x:row>
    <x:row r="12">
      <x:c r="A12" t="s">
        <x:v>22</x:v>
      </x:c>
      <x:c r="B12" t="s">
        <x:v>62</x:v>
      </x:c>
      <x:c r="C12">
        <x:v>3.4</x:v>
      </x:c>
      <x:c r="D12">
        <x:v>0</x:v>
      </x:c>
      <x:c r="E12">
        <x:v>2397.3777777777782</x:v>
      </x:c>
      <x:c r="F12">
        <x:v>180.93</x:v>
      </x:c>
      <x:c r="G12">
        <x:v>180.93</x:v>
      </x:c>
      <x:c r="H12">
        <x:v>180.93</x:v>
      </x:c>
      <x:c r="I12">
        <x:v>180.93</x:v>
      </x:c>
      <x:c r="J12">
        <x:v>180.93</x:v>
      </x:c>
      <x:c r="K12">
        <x:v>180.93</x:v>
      </x:c>
    </x:row>
    <x:row r="13">
      <x:c r="A13" t="s">
        <x:v>24</x:v>
      </x:c>
      <x:c r="B13" t="s">
        <x:v>62</x:v>
      </x:c>
      <x:c r="C13">
        <x:v>293</x:v>
      </x:c>
      <x:c r="D13">
        <x:v>0</x:v>
      </x:c>
      <x:c r="E13">
        <x:v>2046.764444444445</x:v>
      </x:c>
      <x:c r="F13">
        <x:v>353.38</x:v>
      </x:c>
      <x:c r="G13">
        <x:v>353.38</x:v>
      </x:c>
      <x:c r="H13">
        <x:v>353.38</x:v>
      </x:c>
      <x:c r="I13">
        <x:v>353.38</x:v>
      </x:c>
      <x:c r="J13">
        <x:v>353.38</x:v>
      </x:c>
      <x:c r="K13">
        <x:v>353.38</x:v>
      </x:c>
    </x:row>
    <x:row r="14">
      <x:c r="A14" t="s">
        <x:v>14</x:v>
      </x:c>
      <x:c r="B14" t="s">
        <x:v>63</x:v>
      </x:c>
      <x:c r="C14">
        <x:v>931</x:v>
      </x:c>
      <x:c r="D14">
        <x:v>0</x:v>
      </x:c>
      <x:c r="E14">
        <x:v>1100.775555555555</x:v>
      </x:c>
      <x:c r="F14">
        <x:v>163</x:v>
      </x:c>
      <x:c r="G14">
        <x:v>163</x:v>
      </x:c>
      <x:c r="H14">
        <x:v>163</x:v>
      </x:c>
      <x:c r="I14">
        <x:v>163</x:v>
      </x:c>
      <x:c r="J14">
        <x:v>163</x:v>
      </x:c>
      <x:c r="K14">
        <x:v>163</x:v>
      </x:c>
    </x:row>
    <x:row r="15">
      <x:c r="A15" t="s">
        <x:v>16</x:v>
      </x:c>
      <x:c r="B15" t="s">
        <x:v>63</x:v>
      </x:c>
      <x:c r="C15">
        <x:v>22</x:v>
      </x:c>
      <x:c r="D15">
        <x:v>0</x:v>
      </x:c>
      <x:c r="E15">
        <x:v>2042.8166666666671</x:v>
      </x:c>
      <x:c r="F15">
        <x:v>299.25</x:v>
      </x:c>
      <x:c r="G15">
        <x:v>299.25</x:v>
      </x:c>
      <x:c r="H15">
        <x:v>299.25</x:v>
      </x:c>
      <x:c r="I15">
        <x:v>299.25</x:v>
      </x:c>
      <x:c r="J15">
        <x:v>299.25</x:v>
      </x:c>
      <x:c r="K15">
        <x:v>299.25</x:v>
      </x:c>
    </x:row>
    <x:row r="16">
      <x:c r="A16" t="s">
        <x:v>18</x:v>
      </x:c>
      <x:c r="B16" t="s">
        <x:v>63</x:v>
      </x:c>
      <x:c r="C16">
        <x:v>42</x:v>
      </x:c>
      <x:c r="D16">
        <x:v>0</x:v>
      </x:c>
      <x:c r="E16">
        <x:v>1184.481111111111</x:v>
      </x:c>
      <x:c r="F16">
        <x:v>321.25</x:v>
      </x:c>
      <x:c r="G16">
        <x:v>321.25</x:v>
      </x:c>
      <x:c r="H16">
        <x:v>321.25</x:v>
      </x:c>
      <x:c r="I16">
        <x:v>321.25</x:v>
      </x:c>
      <x:c r="J16">
        <x:v>321.25</x:v>
      </x:c>
      <x:c r="K16">
        <x:v>321.25</x:v>
      </x:c>
    </x:row>
    <x:row r="17">
      <x:c r="A17" t="s">
        <x:v>20</x:v>
      </x:c>
      <x:c r="B17" t="s">
        <x:v>63</x:v>
      </x:c>
      <x:c r="C17">
        <x:v>110</x:v>
      </x:c>
      <x:c r="D17">
        <x:v>0</x:v>
      </x:c>
      <x:c r="E17">
        <x:v>1127.6288888888889</x:v>
      </x:c>
      <x:c r="F17">
        <x:v>265.75</x:v>
      </x:c>
      <x:c r="G17">
        <x:v>265.75</x:v>
      </x:c>
      <x:c r="H17">
        <x:v>265.75</x:v>
      </x:c>
      <x:c r="I17">
        <x:v>265.75</x:v>
      </x:c>
      <x:c r="J17">
        <x:v>265.75</x:v>
      </x:c>
      <x:c r="K17">
        <x:v>265.75</x:v>
      </x:c>
    </x:row>
    <x:row r="18">
      <x:c r="A18" t="s">
        <x:v>22</x:v>
      </x:c>
      <x:c r="B18" t="s">
        <x:v>63</x:v>
      </x:c>
      <x:c r="C18">
        <x:v>3.4</x:v>
      </x:c>
      <x:c r="D18">
        <x:v>0</x:v>
      </x:c>
      <x:c r="E18">
        <x:v>2397.3777777777782</x:v>
      </x:c>
      <x:c r="F18">
        <x:v>180.93</x:v>
      </x:c>
      <x:c r="G18">
        <x:v>180.93</x:v>
      </x:c>
      <x:c r="H18">
        <x:v>180.93</x:v>
      </x:c>
      <x:c r="I18">
        <x:v>180.93</x:v>
      </x:c>
      <x:c r="J18">
        <x:v>180.93</x:v>
      </x:c>
      <x:c r="K18">
        <x:v>180.93</x:v>
      </x:c>
    </x:row>
    <x:row r="19">
      <x:c r="A19" t="s">
        <x:v>24</x:v>
      </x:c>
      <x:c r="B19" t="s">
        <x:v>63</x:v>
      </x:c>
      <x:c r="C19">
        <x:v>293</x:v>
      </x:c>
      <x:c r="D19">
        <x:v>0</x:v>
      </x:c>
      <x:c r="E19">
        <x:v>2046.764444444445</x:v>
      </x:c>
      <x:c r="F19">
        <x:v>353.38</x:v>
      </x:c>
      <x:c r="G19">
        <x:v>353.38</x:v>
      </x:c>
      <x:c r="H19">
        <x:v>353.38</x:v>
      </x:c>
      <x:c r="I19">
        <x:v>353.38</x:v>
      </x:c>
      <x:c r="J19">
        <x:v>353.38</x:v>
      </x:c>
      <x:c r="K19">
        <x:v>353.38</x:v>
      </x:c>
    </x:row>
    <x:row r="20">
      <x:c r="A20" t="s">
        <x:v>14</x:v>
      </x:c>
      <x:c r="B20" t="s">
        <x:v>64</x:v>
      </x:c>
      <x:c r="C20">
        <x:v>931</x:v>
      </x:c>
      <x:c r="D20">
        <x:v>0</x:v>
      </x:c>
      <x:c r="E20">
        <x:v>1100.775555555555</x:v>
      </x:c>
      <x:c r="F20">
        <x:v>163</x:v>
      </x:c>
      <x:c r="G20">
        <x:v>163</x:v>
      </x:c>
      <x:c r="H20">
        <x:v>163</x:v>
      </x:c>
      <x:c r="I20">
        <x:v>163</x:v>
      </x:c>
      <x:c r="J20">
        <x:v>163</x:v>
      </x:c>
      <x:c r="K20">
        <x:v>163</x:v>
      </x:c>
    </x:row>
    <x:row r="21">
      <x:c r="A21" t="s">
        <x:v>16</x:v>
      </x:c>
      <x:c r="B21" t="s">
        <x:v>64</x:v>
      </x:c>
      <x:c r="C21">
        <x:v>22</x:v>
      </x:c>
      <x:c r="D21">
        <x:v>0</x:v>
      </x:c>
      <x:c r="E21">
        <x:v>2042.8166666666671</x:v>
      </x:c>
      <x:c r="F21">
        <x:v>299.25</x:v>
      </x:c>
      <x:c r="G21">
        <x:v>299.25</x:v>
      </x:c>
      <x:c r="H21">
        <x:v>299.25</x:v>
      </x:c>
      <x:c r="I21">
        <x:v>299.25</x:v>
      </x:c>
      <x:c r="J21">
        <x:v>299.25</x:v>
      </x:c>
      <x:c r="K21">
        <x:v>299.25</x:v>
      </x:c>
    </x:row>
    <x:row r="22">
      <x:c r="A22" t="s">
        <x:v>18</x:v>
      </x:c>
      <x:c r="B22" t="s">
        <x:v>64</x:v>
      </x:c>
      <x:c r="C22">
        <x:v>42</x:v>
      </x:c>
      <x:c r="D22">
        <x:v>0</x:v>
      </x:c>
      <x:c r="E22">
        <x:v>1184.481111111111</x:v>
      </x:c>
      <x:c r="F22">
        <x:v>321.25</x:v>
      </x:c>
      <x:c r="G22">
        <x:v>321.25</x:v>
      </x:c>
      <x:c r="H22">
        <x:v>321.25</x:v>
      </x:c>
      <x:c r="I22">
        <x:v>321.25</x:v>
      </x:c>
      <x:c r="J22">
        <x:v>321.25</x:v>
      </x:c>
      <x:c r="K22">
        <x:v>321.25</x:v>
      </x:c>
    </x:row>
    <x:row r="23">
      <x:c r="A23" t="s">
        <x:v>20</x:v>
      </x:c>
      <x:c r="B23" t="s">
        <x:v>64</x:v>
      </x:c>
      <x:c r="C23">
        <x:v>110</x:v>
      </x:c>
      <x:c r="D23">
        <x:v>0</x:v>
      </x:c>
      <x:c r="E23">
        <x:v>1127.6288888888889</x:v>
      </x:c>
      <x:c r="F23">
        <x:v>265.75</x:v>
      </x:c>
      <x:c r="G23">
        <x:v>265.75</x:v>
      </x:c>
      <x:c r="H23">
        <x:v>265.75</x:v>
      </x:c>
      <x:c r="I23">
        <x:v>265.75</x:v>
      </x:c>
      <x:c r="J23">
        <x:v>265.75</x:v>
      </x:c>
      <x:c r="K23">
        <x:v>265.75</x:v>
      </x:c>
    </x:row>
    <x:row r="24">
      <x:c r="A24" t="s">
        <x:v>22</x:v>
      </x:c>
      <x:c r="B24" t="s">
        <x:v>64</x:v>
      </x:c>
      <x:c r="C24">
        <x:v>3.4</x:v>
      </x:c>
      <x:c r="D24">
        <x:v>0</x:v>
      </x:c>
      <x:c r="E24">
        <x:v>2397.3777777777782</x:v>
      </x:c>
      <x:c r="F24">
        <x:v>180.93</x:v>
      </x:c>
      <x:c r="G24">
        <x:v>180.93</x:v>
      </x:c>
      <x:c r="H24">
        <x:v>180.93</x:v>
      </x:c>
      <x:c r="I24">
        <x:v>180.93</x:v>
      </x:c>
      <x:c r="J24">
        <x:v>180.93</x:v>
      </x:c>
      <x:c r="K24">
        <x:v>180.93</x:v>
      </x:c>
    </x:row>
    <x:row r="25">
      <x:c r="A25" t="s">
        <x:v>24</x:v>
      </x:c>
      <x:c r="B25" t="s">
        <x:v>64</x:v>
      </x:c>
      <x:c r="C25">
        <x:v>293</x:v>
      </x:c>
      <x:c r="D25">
        <x:v>0</x:v>
      </x:c>
      <x:c r="E25">
        <x:v>2046.764444444445</x:v>
      </x:c>
      <x:c r="F25">
        <x:v>353.38</x:v>
      </x:c>
      <x:c r="G25">
        <x:v>353.38</x:v>
      </x:c>
      <x:c r="H25">
        <x:v>353.38</x:v>
      </x:c>
      <x:c r="I25">
        <x:v>353.38</x:v>
      </x:c>
      <x:c r="J25">
        <x:v>353.38</x:v>
      </x:c>
      <x:c r="K25">
        <x:v>353.38</x:v>
      </x:c>
    </x:row>
    <x:row r="26">
      <x:c r="A26" t="s">
        <x:v>14</x:v>
      </x:c>
      <x:c r="B26" t="s">
        <x:v>65</x:v>
      </x:c>
      <x:c r="C26">
        <x:v>931</x:v>
      </x:c>
      <x:c r="D26">
        <x:v>0</x:v>
      </x:c>
      <x:c r="E26">
        <x:v>1100.775555555555</x:v>
      </x:c>
      <x:c r="F26">
        <x:v>163</x:v>
      </x:c>
      <x:c r="G26">
        <x:v>163</x:v>
      </x:c>
      <x:c r="H26">
        <x:v>163</x:v>
      </x:c>
      <x:c r="I26">
        <x:v>163</x:v>
      </x:c>
      <x:c r="J26">
        <x:v>163</x:v>
      </x:c>
      <x:c r="K26">
        <x:v>163</x:v>
      </x:c>
    </x:row>
    <x:row r="27">
      <x:c r="A27" t="s">
        <x:v>16</x:v>
      </x:c>
      <x:c r="B27" t="s">
        <x:v>65</x:v>
      </x:c>
      <x:c r="C27">
        <x:v>22</x:v>
      </x:c>
      <x:c r="D27">
        <x:v>0</x:v>
      </x:c>
      <x:c r="E27">
        <x:v>2042.8166666666671</x:v>
      </x:c>
      <x:c r="F27">
        <x:v>299.25</x:v>
      </x:c>
      <x:c r="G27">
        <x:v>299.25</x:v>
      </x:c>
      <x:c r="H27">
        <x:v>299.25</x:v>
      </x:c>
      <x:c r="I27">
        <x:v>299.25</x:v>
      </x:c>
      <x:c r="J27">
        <x:v>299.25</x:v>
      </x:c>
      <x:c r="K27">
        <x:v>299.25</x:v>
      </x:c>
    </x:row>
    <x:row r="28">
      <x:c r="A28" t="s">
        <x:v>18</x:v>
      </x:c>
      <x:c r="B28" t="s">
        <x:v>65</x:v>
      </x:c>
      <x:c r="C28">
        <x:v>42</x:v>
      </x:c>
      <x:c r="D28">
        <x:v>0</x:v>
      </x:c>
      <x:c r="E28">
        <x:v>1184.481111111111</x:v>
      </x:c>
      <x:c r="F28">
        <x:v>321.25</x:v>
      </x:c>
      <x:c r="G28">
        <x:v>321.25</x:v>
      </x:c>
      <x:c r="H28">
        <x:v>321.25</x:v>
      </x:c>
      <x:c r="I28">
        <x:v>321.25</x:v>
      </x:c>
      <x:c r="J28">
        <x:v>321.25</x:v>
      </x:c>
      <x:c r="K28">
        <x:v>321.25</x:v>
      </x:c>
    </x:row>
    <x:row r="29">
      <x:c r="A29" t="s">
        <x:v>20</x:v>
      </x:c>
      <x:c r="B29" t="s">
        <x:v>65</x:v>
      </x:c>
      <x:c r="C29">
        <x:v>110</x:v>
      </x:c>
      <x:c r="D29">
        <x:v>0</x:v>
      </x:c>
      <x:c r="E29">
        <x:v>1127.6288888888889</x:v>
      </x:c>
      <x:c r="F29">
        <x:v>265.75</x:v>
      </x:c>
      <x:c r="G29">
        <x:v>265.75</x:v>
      </x:c>
      <x:c r="H29">
        <x:v>265.75</x:v>
      </x:c>
      <x:c r="I29">
        <x:v>265.75</x:v>
      </x:c>
      <x:c r="J29">
        <x:v>265.75</x:v>
      </x:c>
      <x:c r="K29">
        <x:v>265.75</x:v>
      </x:c>
    </x:row>
    <x:row r="30">
      <x:c r="A30" t="s">
        <x:v>22</x:v>
      </x:c>
      <x:c r="B30" t="s">
        <x:v>65</x:v>
      </x:c>
      <x:c r="C30">
        <x:v>3.4</x:v>
      </x:c>
      <x:c r="D30">
        <x:v>0</x:v>
      </x:c>
      <x:c r="E30">
        <x:v>2397.3777777777782</x:v>
      </x:c>
      <x:c r="F30">
        <x:v>180.93</x:v>
      </x:c>
      <x:c r="G30">
        <x:v>180.93</x:v>
      </x:c>
      <x:c r="H30">
        <x:v>180.93</x:v>
      </x:c>
      <x:c r="I30">
        <x:v>180.93</x:v>
      </x:c>
      <x:c r="J30">
        <x:v>180.93</x:v>
      </x:c>
      <x:c r="K30">
        <x:v>180.93</x:v>
      </x:c>
    </x:row>
    <x:row r="31">
      <x:c r="A31" t="s">
        <x:v>24</x:v>
      </x:c>
      <x:c r="B31" t="s">
        <x:v>65</x:v>
      </x:c>
      <x:c r="C31">
        <x:v>293</x:v>
      </x:c>
      <x:c r="D31">
        <x:v>0</x:v>
      </x:c>
      <x:c r="E31">
        <x:v>2046.764444444445</x:v>
      </x:c>
      <x:c r="F31">
        <x:v>353.38</x:v>
      </x:c>
      <x:c r="G31">
        <x:v>353.38</x:v>
      </x:c>
      <x:c r="H31">
        <x:v>353.38</x:v>
      </x:c>
      <x:c r="I31">
        <x:v>353.38</x:v>
      </x:c>
      <x:c r="J31">
        <x:v>353.38</x:v>
      </x:c>
      <x:c r="K31">
        <x:v>353.38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5"/>
  <x:sheetData>
    <x:row r="3">
      <x:c r="B3" s="9" t="s">
        <x:v>66</x:v>
      </x:c>
    </x:row>
    <x:row r="4">
      <x:c r="B4" t="s">
        <x:v>67</x:v>
      </x:c>
      <x:c r="C4" t="s">
        <x:v>68</x:v>
      </x:c>
    </x:row>
    <x:row r="5">
      <x:c r="B5" t="s">
        <x:v>69</x:v>
      </x:c>
      <x:c r="C5">
        <x:v>420</x:v>
      </x:c>
    </x:row>
    <x:row r="6">
      <x:c r="B6" t="s">
        <x:v>70</x:v>
      </x:c>
      <x:c r="C6">
        <x:v>80</x:v>
      </x:c>
    </x:row>
    <x:row r="7">
      <x:c r="B7" t="s">
        <x:v>71</x:v>
      </x:c>
      <x:c r="C7">
        <x:v>100</x:v>
      </x:c>
    </x:row>
    <x:row r="8">
      <x:c r="B8" t="s">
        <x:v>72</x:v>
      </x:c>
      <x:c r="C8">
        <x:v>50</x:v>
      </x:c>
    </x:row>
    <x:row r="9">
      <x:c r="B9" t="s">
        <x:v>23</x:v>
      </x:c>
      <x:c r="C9" s="5">
        <x:v>7.8</x:v>
      </x:c>
    </x:row>
    <x:row r="10">
      <x:c r="B10" t="s">
        <x:v>73</x:v>
      </x:c>
      <x:c r="C10">
        <x:v>128</x:v>
      </x:c>
    </x:row>
  </x:sheetData>
  <x:hyperlinks>
    <x:hyperlink xmlns:r="http://schemas.openxmlformats.org/officeDocument/2006/relationships" ref="B3" r:id="Rbabab1dca4f94d42"/>
  </x:hyperlinks>
  <x:pageMargins left="0.7" right="0.7" top="0.75" bottom="0.75" header="0.3" footer="0.3"/>
  <x:drawing xmlns:r="http://schemas.openxmlformats.org/officeDocument/2006/relationships" r:id="R3c89b2bc7b3d4dcb"/>
</x:worksheet>
</file>

<file path=xl/worksheets/sheet9.xml><?xml version="1.0" encoding="utf-8"?>
<x:worksheet xmlns:x="http://schemas.openxmlformats.org/spreadsheetml/2006/main">
  <x:sheetFormatPr baseColWidth="10" defaultRowHeight="15"/>
  <x:cols>
    <x:col min="3" max="3" width="15.28515625" customWidth="1"/>
  </x:cols>
  <x:sheetData>
    <x:row r="1">
      <x:c r="A1" s="2" t="s">
        <x:v>12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</x:row>
    <x:row r="2">
      <x:c r="A2" t="s">
        <x:v>14</x:v>
      </x:c>
      <x:c r="B2">
        <x:v>931</x:v>
      </x:c>
      <x:c r="C2">
        <x:v>278</x:v>
      </x:c>
      <x:c r="D2">
        <x:v>410</x:v>
      </x:c>
      <x:c r="E2">
        <x:v>540</x:v>
      </x:c>
      <x:c r="F2">
        <x:v>600</x:v>
      </x:c>
    </x:row>
    <x:row r="3">
      <x:c r="A3" t="s">
        <x:v>16</x:v>
      </x:c>
      <x:c r="B3">
        <x:v>22</x:v>
      </x:c>
      <x:c r="C3">
        <x:v>58.99</x:v>
      </x:c>
      <x:c r="D3">
        <x:v>68</x:v>
      </x:c>
      <x:c r="E3">
        <x:v>145</x:v>
      </x:c>
      <x:c r="F3">
        <x:v>250</x:v>
      </x:c>
    </x:row>
    <x:row r="4">
      <x:c r="A4" t="s">
        <x:v>18</x:v>
      </x:c>
      <x:c r="B4">
        <x:v>42</x:v>
      </x:c>
      <x:c r="C4">
        <x:v>38.270000000000003</x:v>
      </x:c>
      <x:c r="D4">
        <x:v>70</x:v>
      </x:c>
      <x:c r="E4">
        <x:v>95</x:v>
      </x:c>
      <x:c r="F4">
        <x:v>115</x:v>
      </x:c>
    </x:row>
    <x:row r="5">
      <x:c r="A5" t="s">
        <x:v>48</x:v>
      </x:c>
      <x:c r="B5">
        <x:v>110</x:v>
      </x:c>
      <x:c r="C5">
        <x:v>49.08</x:v>
      </x:c>
      <x:c r="D5">
        <x:v>290</x:v>
      </x:c>
      <x:c r="E5">
        <x:v>375</x:v>
      </x:c>
      <x:c r="F5">
        <x:v>460</x:v>
      </x:c>
    </x:row>
    <x:row r="6">
      <x:c r="A6" t="s">
        <x:v>22</x:v>
      </x:c>
      <x:c r="B6">
        <x:v>3.4</x:v>
      </x:c>
      <x:c r="C6">
        <x:v>18.2</x:v>
      </x:c>
      <x:c r="D6">
        <x:v>33</x:v>
      </x:c>
      <x:c r="E6">
        <x:v>62</x:v>
      </x:c>
      <x:c r="F6">
        <x:v>90</x:v>
      </x:c>
    </x:row>
    <x:row r="7">
      <x:c r="A7" t="s">
        <x:v>24</x:v>
      </x:c>
      <x:c r="B7">
        <x:v>293</x:v>
      </x:c>
      <x:c r="C7">
        <x:v>27.61</x:v>
      </x:c>
      <x:c r="D7">
        <x:v>90.56</x:v>
      </x:c>
      <x:c r="E7">
        <x:v>130</x:v>
      </x:c>
      <x:c r="F7">
        <x:v>180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10" defaultColWidth="9.140625" defaultRowHeight="15"/>
  <x:cols>
    <x:col min="1" max="1" width="10" customWidth="1"/>
    <x:col min="2" max="2" width="14" customWidth="1"/>
    <x:col min="3" max="3" width="21.42578125" customWidth="1"/>
    <x:col min="4" max="4" width="18.7109375" customWidth="1"/>
    <x:col min="5" max="6" width="20.28515625" customWidth="1"/>
    <x:col min="7" max="7" width="25.7109375" customWidth="1"/>
    <x:col min="8" max="8" width="26" customWidth="1"/>
    <x:col min="9" max="9" width="30.5703125" customWidth="1"/>
    <x:col min="10" max="10" width="20.42578125" customWidth="1"/>
    <x:col min="11" max="11" width="23.140625" customWidth="1"/>
    <x:col min="12" max="12" width="28" customWidth="1"/>
    <x:col min="13" max="13" width="16.5703125" customWidth="1"/>
    <x:col min="14" max="14" width="18" customWidth="1"/>
    <x:col min="15" max="15" width="27.85546875" customWidth="1"/>
    <x:col min="16" max="16" width="25.42578125" customWidth="1"/>
    <x:col min="17" max="17" width="24.140625" customWidth="1"/>
    <x:col min="18" max="18" width="22.85546875" customWidth="1"/>
    <x:col min="19" max="19" width="28.5703125" customWidth="1"/>
    <x:col min="20" max="20" width="31.85546875" customWidth="1"/>
    <x:col min="21" max="21" width="31.42578125" customWidth="1"/>
    <x:col min="22" max="22" width="42.7109375" customWidth="1"/>
    <x:col min="23" max="23" width="38.42578125" customWidth="1"/>
  </x:cols>
  <x:sheetData>
    <x:row r="1">
      <x:c r="A1" s="2" t="s">
        <x:v>12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  <x:c r="H1" s="2" t="s">
        <x:v>32</x:v>
      </x:c>
      <x:c r="I1" s="2" t="s">
        <x:v>33</x:v>
      </x:c>
      <x:c r="J1" s="2" t="s">
        <x:v>34</x:v>
      </x:c>
      <x:c r="K1" s="2" t="s">
        <x:v>35</x:v>
      </x:c>
      <x:c r="L1" s="2" t="s">
        <x:v>36</x:v>
      </x:c>
      <x:c r="M1" s="2" t="s">
        <x:v>37</x:v>
      </x:c>
      <x:c r="N1" s="2" t="s">
        <x:v>38</x:v>
      </x:c>
      <x:c r="O1" s="2" t="s">
        <x:v>39</x:v>
      </x:c>
      <x:c r="P1" s="2" t="s">
        <x:v>40</x:v>
      </x:c>
      <x:c r="Q1" s="2" t="s">
        <x:v>41</x:v>
      </x:c>
      <x:c r="R1" s="2" t="s">
        <x:v>42</x:v>
      </x:c>
      <x:c r="S1" s="2" t="s">
        <x:v>43</x:v>
      </x:c>
      <x:c r="T1" s="2" t="s">
        <x:v>44</x:v>
      </x:c>
      <x:c r="U1" s="2" t="s">
        <x:v>45</x:v>
      </x:c>
      <x:c r="V1" s="2" t="s">
        <x:v>46</x:v>
      </x:c>
      <x:c r="W1" s="2" t="s">
        <x:v>47</x:v>
      </x:c>
    </x:row>
    <x:row r="2">
      <x:c r="A2" t="s">
        <x:v>14</x:v>
      </x:c>
      <x:c r="B2">
        <x:v>931</x:v>
      </x:c>
      <x:c r="C2">
        <x:v>278</x:v>
      </x:c>
      <x:c r="D2" s="10">
        <x:v>410</x:v>
      </x:c>
      <x:c r="E2">
        <x:v>540</x:v>
      </x:c>
      <x:c r="F2">
        <x:v>600</x:v>
      </x:c>
      <x:c r="G2">
        <x:v>163</x:v>
      </x:c>
      <x:c r="H2">
        <x:v>50</x:v>
      </x:c>
      <x:c r="I2" t="n">
        <x:f t="shared" ref="I2:I7" si="0">H2*0.05</x:f>
        <x:v>2.5</x:v>
      </x:c>
      <x:c r="J2">
        <x:v>27.4</x:v>
      </x:c>
      <x:c r="K2">
        <x:v>1</x:v>
      </x:c>
      <x:c r="L2">
        <x:v>1000</x:v>
      </x:c>
      <x:c r="M2">
        <x:v>1E-3</x:v>
      </x:c>
      <x:c r="N2" s="5">
        <x:v>521.41999999999996</x:v>
      </x:c>
      <x:c r="O2" s="5">
        <x:v>0.9</x:v>
      </x:c>
      <x:c r="P2" s="5" t="n">
        <x:f t="shared" ref="P2:S7" si="1">$N2*(1+1/$O2)</x:f>
        <x:v>1100.7755555555555</x:v>
      </x:c>
      <x:c r="Q2" s="5">
        <x:f t="shared" si="1"/>
        <x:v>1100.7755555555555</x:v>
      </x:c>
      <x:c r="R2" s="5">
        <x:f t="shared" si="1"/>
        <x:v>1100.7755555555555</x:v>
      </x:c>
      <x:c r="S2" s="5">
        <x:f t="shared" si="1"/>
        <x:v>1100.7755555555555</x:v>
      </x:c>
      <x:c r="T2" s="6" t="n">
        <x:f t="shared" ref="T2:T7" si="2">$N2/($O2*$C2)</x:f>
        <x:v>2.084012789768185</x:v>
      </x:c>
      <x:c r="U2" s="6" t="n">
        <x:f t="shared" ref="U2:U5" si="3">$N2/($O2*$D2)</x:f>
        <x:v>1.413062330623306</x:v>
      </x:c>
      <x:c r="V2" s="6" t="n">
        <x:f t="shared" ref="V2:V5" si="4">$N2/($O2*$E2)</x:f>
        <x:v>1.0728806584362138</x:v>
      </x:c>
      <x:c r="W2" s="6" t="n">
        <x:f t="shared" ref="W2:W5" si="5">$N2/($O2*$F2)</x:f>
        <x:v>0.9655925925925926</x:v>
      </x:c>
    </x:row>
    <x:row r="3">
      <x:c r="A3" t="s">
        <x:v>16</x:v>
      </x:c>
      <x:c r="B3">
        <x:v>22</x:v>
      </x:c>
      <x:c r="C3">
        <x:v>58.99</x:v>
      </x:c>
      <x:c r="D3" s="10">
        <x:v>68</x:v>
      </x:c>
      <x:c r="E3">
        <x:v>145</x:v>
      </x:c>
      <x:c r="F3">
        <x:v>250</x:v>
      </x:c>
      <x:c r="G3">
        <x:v>299.25</x:v>
      </x:c>
      <x:c r="H3">
        <x:v>175</x:v>
      </x:c>
      <x:c r="I3">
        <x:f t="shared" si="0"/>
        <x:v>8.75</x:v>
      </x:c>
      <x:c r="J3">
        <x:v>3.6</x:v>
      </x:c>
      <x:c r="K3">
        <x:v>1</x:v>
      </x:c>
      <x:c r="L3">
        <x:v>1000</x:v>
      </x:c>
      <x:c r="M3">
        <x:v>1E-3</x:v>
      </x:c>
      <x:c r="N3" s="5">
        <x:v>967.65</x:v>
      </x:c>
      <x:c r="O3" s="5">
        <x:v>0.9</x:v>
      </x:c>
      <x:c r="P3" s="5">
        <x:f t="shared" si="1"/>
        <x:v>2042.8166666666666</x:v>
      </x:c>
      <x:c r="Q3" s="5">
        <x:f t="shared" si="1"/>
        <x:v>2042.8166666666666</x:v>
      </x:c>
      <x:c r="R3" s="5">
        <x:f t="shared" si="1"/>
        <x:v>2042.8166666666666</x:v>
      </x:c>
      <x:c r="S3" s="5">
        <x:f t="shared" si="1"/>
        <x:v>2042.8166666666666</x:v>
      </x:c>
      <x:c r="T3" s="6">
        <x:f t="shared" si="2"/>
        <x:v>18.226253037237949</x:v>
      </x:c>
      <x:c r="U3" s="6">
        <x:f t="shared" si="3"/>
        <x:v>15.811274509803921</x:v>
      </x:c>
      <x:c r="V3" s="6">
        <x:f t="shared" si="4"/>
        <x:v>7.4149425287356321</x:v>
      </x:c>
      <x:c r="W3" s="6">
        <x:f t="shared" si="5"/>
        <x:v>4.3006666666666664</x:v>
      </x:c>
    </x:row>
    <x:row r="4">
      <x:c r="A4" t="s">
        <x:v>18</x:v>
      </x:c>
      <x:c r="B4">
        <x:v>42</x:v>
      </x:c>
      <x:c r="C4">
        <x:v>38.270000000000003</x:v>
      </x:c>
      <x:c r="D4" s="10">
        <x:v>70</x:v>
      </x:c>
      <x:c r="E4">
        <x:v>95</x:v>
      </x:c>
      <x:c r="F4">
        <x:v>115</x:v>
      </x:c>
      <x:c r="G4">
        <x:v>321.25</x:v>
      </x:c>
      <x:c r="H4">
        <x:v>175</x:v>
      </x:c>
      <x:c r="I4">
        <x:f t="shared" si="0"/>
        <x:v>8.75</x:v>
      </x:c>
      <x:c r="J4">
        <x:v>14.5</x:v>
      </x:c>
      <x:c r="K4">
        <x:v>1</x:v>
      </x:c>
      <x:c r="L4">
        <x:v>1000</x:v>
      </x:c>
      <x:c r="M4">
        <x:v>1E-3</x:v>
      </x:c>
      <x:c r="N4" s="5">
        <x:v>561.07000000000005</x:v>
      </x:c>
      <x:c r="O4" s="5">
        <x:v>0.9</x:v>
      </x:c>
      <x:c r="P4" s="5">
        <x:f t="shared" si="1"/>
        <x:v>1184.4811111111112</x:v>
      </x:c>
      <x:c r="Q4" s="5">
        <x:f t="shared" si="1"/>
        <x:v>1184.4811111111112</x:v>
      </x:c>
      <x:c r="R4" s="5">
        <x:f t="shared" si="1"/>
        <x:v>1184.4811111111112</x:v>
      </x:c>
      <x:c r="S4" s="5">
        <x:f t="shared" si="1"/>
        <x:v>1184.4811111111112</x:v>
      </x:c>
      <x:c r="T4" s="6">
        <x:f t="shared" si="2"/>
        <x:v>16.289812153412885</x:v>
      </x:c>
      <x:c r="U4" s="6">
        <x:f t="shared" si="3"/>
        <x:v>8.9058730158730164</x:v>
      </x:c>
      <x:c r="V4" s="6">
        <x:f t="shared" si="4"/>
        <x:v>6.5622222222222231</x:v>
      </x:c>
      <x:c r="W4" s="6">
        <x:f t="shared" si="5"/>
        <x:v>5.4209661835748797</x:v>
      </x:c>
    </x:row>
    <x:row r="5">
      <x:c r="A5" t="s">
        <x:v>48</x:v>
      </x:c>
      <x:c r="B5">
        <x:v>110</x:v>
      </x:c>
      <x:c r="C5">
        <x:v>49.08</x:v>
      </x:c>
      <x:c r="D5" s="11">
        <x:v>290</x:v>
      </x:c>
      <x:c r="E5">
        <x:v>375</x:v>
      </x:c>
      <x:c r="F5">
        <x:v>460</x:v>
      </x:c>
      <x:c r="G5">
        <x:v>265.75</x:v>
      </x:c>
      <x:c r="H5">
        <x:v>57.5</x:v>
      </x:c>
      <x:c r="I5">
        <x:f t="shared" si="0"/>
        <x:v>2.875</x:v>
      </x:c>
      <x:c r="J5">
        <x:v>3.2479999999999989</x:v>
      </x:c>
      <x:c r="K5">
        <x:v>1</x:v>
      </x:c>
      <x:c r="L5">
        <x:v>1000</x:v>
      </x:c>
      <x:c r="M5">
        <x:v>1E-3</x:v>
      </x:c>
      <x:c r="N5" s="5">
        <x:v>534.14</x:v>
      </x:c>
      <x:c r="O5" s="5">
        <x:v>0.9</x:v>
      </x:c>
      <x:c r="P5" s="5">
        <x:f t="shared" si="1"/>
        <x:v>1127.6288888888889</x:v>
      </x:c>
      <x:c r="Q5" s="5">
        <x:f t="shared" si="1"/>
        <x:v>1127.6288888888889</x:v>
      </x:c>
      <x:c r="R5" s="5">
        <x:f t="shared" si="1"/>
        <x:v>1127.6288888888889</x:v>
      </x:c>
      <x:c r="S5" s="5">
        <x:f t="shared" si="1"/>
        <x:v>1127.6288888888889</x:v>
      </x:c>
      <x:c r="T5" s="6">
        <x:f t="shared" si="2"/>
        <x:v>12.092275649732862</x:v>
      </x:c>
      <x:c r="U5" s="6">
        <x:f t="shared" si="3"/>
        <x:v>2.046513409961686</x:v>
      </x:c>
      <x:c r="V5" s="6">
        <x:f t="shared" si="4"/>
        <x:v>1.5826370370370371</x:v>
      </x:c>
      <x:c r="W5" s="6">
        <x:f t="shared" si="5"/>
        <x:v>1.2901932367149758</x:v>
      </x:c>
    </x:row>
    <x:row r="6">
      <x:c r="A6" t="s">
        <x:v>22</x:v>
      </x:c>
      <x:c r="B6">
        <x:v>3.4</x:v>
      </x:c>
      <x:c r="C6">
        <x:v>5</x:v>
      </x:c>
      <x:c r="D6" s="10">
        <x:v>15</x:v>
      </x:c>
      <x:c r="E6">
        <x:v>62</x:v>
      </x:c>
      <x:c r="F6">
        <x:v>90</x:v>
      </x:c>
      <x:c r="G6">
        <x:v>180.93</x:v>
      </x:c>
      <x:c r="H6">
        <x:v>150</x:v>
      </x:c>
      <x:c r="I6">
        <x:f t="shared" si="0"/>
        <x:v>7.5</x:v>
      </x:c>
      <x:c r="J6">
        <x:v>0.2</x:v>
      </x:c>
      <x:c r="K6">
        <x:v>1</x:v>
      </x:c>
      <x:c r="L6">
        <x:v>1000</x:v>
      </x:c>
      <x:c r="M6">
        <x:v>1E-3</x:v>
      </x:c>
      <x:c r="N6" s="5">
        <x:v>1135.5999999999999</x:v>
      </x:c>
      <x:c r="O6" s="5">
        <x:v>0.9</x:v>
      </x:c>
      <x:c r="P6" s="5">
        <x:f t="shared" si="1"/>
        <x:v>2397.3777777777777</x:v>
      </x:c>
      <x:c r="Q6" s="5">
        <x:f t="shared" si="1"/>
        <x:v>2397.3777777777777</x:v>
      </x:c>
      <x:c r="R6" s="5">
        <x:f t="shared" si="1"/>
        <x:v>2397.3777777777777</x:v>
      </x:c>
      <x:c r="S6" s="5">
        <x:f t="shared" si="1"/>
        <x:v>2397.3777777777777</x:v>
      </x:c>
      <x:c r="T6" s="6">
        <x:f t="shared" si="2"/>
        <x:v>252.35555555555553</x:v>
      </x:c>
      <x:c r="U6" s="6" t="n">
        <x:f>$N6/($O6*$D7)</x:f>
        <x:v>16.699017704840887</x:v>
      </x:c>
      <x:c r="V6" s="6" t="n">
        <x:f>$N6/($O6*$E7)</x:f>
        <x:v>9.705982905982905</x:v>
      </x:c>
      <x:c r="W6" s="6" t="n">
        <x:f>$N6/($O6*$F7)</x:f>
        <x:v>7.009876543209876</x:v>
      </x:c>
    </x:row>
    <x:row r="7">
      <x:c r="A7" t="s">
        <x:v>24</x:v>
      </x:c>
      <x:c r="B7">
        <x:v>293</x:v>
      </x:c>
      <x:c r="C7">
        <x:v>27.61</x:v>
      </x:c>
      <x:c r="D7" s="12">
        <x:v>75.56</x:v>
      </x:c>
      <x:c r="E7">
        <x:v>130</x:v>
      </x:c>
      <x:c r="F7">
        <x:v>180</x:v>
      </x:c>
      <x:c r="G7">
        <x:v>353.38</x:v>
      </x:c>
      <x:c r="H7">
        <x:v>125</x:v>
      </x:c>
      <x:c r="I7">
        <x:f t="shared" si="0"/>
        <x:v>6.25</x:v>
      </x:c>
      <x:c r="J7">
        <x:v>8.6799999999999962</x:v>
      </x:c>
      <x:c r="K7">
        <x:v>1</x:v>
      </x:c>
      <x:c r="L7">
        <x:v>1000</x:v>
      </x:c>
      <x:c r="M7">
        <x:v>1E-3</x:v>
      </x:c>
      <x:c r="N7" s="5">
        <x:v>969.52</x:v>
      </x:c>
      <x:c r="O7" s="5">
        <x:v>0.9</x:v>
      </x:c>
      <x:c r="P7" s="5">
        <x:f t="shared" si="1"/>
        <x:v>2046.7644444444445</x:v>
      </x:c>
      <x:c r="Q7" s="5">
        <x:f t="shared" si="1"/>
        <x:v>2046.7644444444445</x:v>
      </x:c>
      <x:c r="R7" s="5">
        <x:f t="shared" si="1"/>
        <x:v>2046.7644444444445</x:v>
      </x:c>
      <x:c r="S7" s="5">
        <x:f t="shared" si="1"/>
        <x:v>2046.7644444444445</x:v>
      </x:c>
      <x:c r="T7" s="6">
        <x:f t="shared" si="2"/>
        <x:v>39.016459414865786</x:v>
      </x:c>
      <x:c r="U7" s="6" t="n">
        <x:f>$N7/($O7*$D6)</x:f>
        <x:v>71.8162962962963</x:v>
      </x:c>
      <x:c r="V7" s="6" t="n">
        <x:f>$N7/($O7*$E6)</x:f>
        <x:v>17.374910394265232</x:v>
      </x:c>
      <x:c r="W7" s="6" t="n">
        <x:f>$N7/($O7*$F6)</x:f>
        <x:v>11.969382716049383</x:v>
      </x:c>
    </x:row>
    <x:row r="8">
      <x:c r="T8" s="4"/>
      <x:c r="U8" s="4"/>
      <x:c r="V8" s="4"/>
    </x:row>
    <x:row r="9">
      <x:c r="B9" s="7"/>
    </x:row>
    <x:row r="10">
      <x:c r="A10" s="4"/>
      <x:c r="C10" s="4"/>
    </x:row>
    <x:row r="11">
      <x:c r="A11" s="4"/>
      <x:c r="C11" s="4"/>
    </x:row>
    <x:row r="12">
      <x:c r="A12" s="4"/>
    </x:row>
    <x:row r="13" ht="30.600000381469727" customHeight="1">
      <x:c r="A13" s="4"/>
    </x:row>
    <x:row r="14">
      <x:c r="A14" s="4"/>
      <x:c r="C14" s="5"/>
    </x:row>
    <x:row r="15">
      <x:c r="A15" s="4"/>
      <x:c r="C15" s="5"/>
    </x:row>
    <x:row r="16">
      <x:c r="A16" s="4"/>
      <x:c r="C16" s="5"/>
    </x:row>
    <x:row r="17">
      <x:c r="C17" s="5"/>
    </x:row>
    <x:row r="18">
      <x:c r="C18" s="5"/>
    </x:row>
    <x:row r="19">
      <x:c r="C19" s="5"/>
    </x:row>
    <x:row r="24">
      <x:c r="R24" s="3"/>
    </x:row>
    <x:row r="25">
      <x:c r="R25" s="3"/>
    </x:row>
    <x:row r="26">
      <x:c r="C26" s="5"/>
      <x:c r="R26" s="3"/>
      <x:c r="S26" s="3"/>
      <x:c r="T26" s="3"/>
      <x:c r="U26" s="3"/>
    </x:row>
  </x:sheetData>
  <x:pageMargins left="0.7" right="0.7" top="0.75" bottom="0.75" header="0.3" footer="0.3"/>
  <x:legacyDrawing xmlns:r="http://schemas.openxmlformats.org/officeDocument/2006/relationships" r:id="R5421a6d50c96467b"/>
</x:worksheet>
</file>