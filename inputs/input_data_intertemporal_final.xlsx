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EEG\EPEC\EPEC_VS_code\SolarGeoRisk_EPEC_intertemporal\inputs\"/>
    </mc:Choice>
  </mc:AlternateContent>
  <xr:revisionPtr revIDLastSave="0" documentId="13_ncr:1_{9CF84FCA-830E-43AF-B02A-5EA1FEFBD53D}" xr6:coauthVersionLast="47" xr6:coauthVersionMax="47" xr10:uidLastSave="{00000000-0000-0000-0000-000000000000}"/>
  <bookViews>
    <workbookView xWindow="57480" yWindow="-930" windowWidth="29040" windowHeight="17520" activeTab="2" xr2:uid="{00000000-000D-0000-FFFF-FFFF00000000}"/>
  </bookViews>
  <sheets>
    <sheet name="settings" sheetId="1" r:id="rId1"/>
    <sheet name="regions" sheetId="2" r:id="rId2"/>
    <sheet name="params_region" sheetId="3" r:id="rId3"/>
    <sheet name="c_ship" sheetId="4" r:id="rId4"/>
    <sheet name="READM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3" l="1"/>
  <c r="C57" i="3"/>
  <c r="C56" i="3"/>
  <c r="C55" i="3"/>
  <c r="C50" i="3"/>
  <c r="C49" i="3"/>
  <c r="C48" i="3"/>
  <c r="C47" i="3"/>
  <c r="C42" i="3"/>
  <c r="C41" i="3"/>
  <c r="C40" i="3"/>
  <c r="C39" i="3"/>
  <c r="C34" i="3"/>
  <c r="C33" i="3"/>
  <c r="C32" i="3"/>
  <c r="C31" i="3"/>
  <c r="C23" i="3"/>
  <c r="C26" i="3"/>
  <c r="C25" i="3"/>
  <c r="C24" i="3"/>
  <c r="C15" i="3"/>
  <c r="C18" i="3"/>
  <c r="C17" i="3"/>
  <c r="C16" i="3"/>
</calcChain>
</file>

<file path=xl/sharedStrings.xml><?xml version="1.0" encoding="utf-8"?>
<sst xmlns="http://schemas.openxmlformats.org/spreadsheetml/2006/main" count="100" uniqueCount="57">
  <si>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</si>
  <si>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</si>
  <si>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</si>
  <si>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</si>
  <si>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</si>
  <si>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</si>
  <si>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</si>
  <si>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</si>
  <si>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</si>
  <si>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</si>
  <si>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</si>
  <si>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</si>
  <si>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</t>
  </si>
  <si>
    <t>name</t>
  </si>
  <si>
    <t>ch</t>
  </si>
  <si>
    <t>China</t>
  </si>
  <si>
    <t>eu</t>
  </si>
  <si>
    <t>Europe</t>
  </si>
  <si>
    <t>us</t>
  </si>
  <si>
    <t>North America</t>
  </si>
  <si>
    <t>apac</t>
  </si>
  <si>
    <t>Asia (APAC+ROA)</t>
  </si>
  <si>
    <t>af</t>
  </si>
  <si>
    <t>Africa</t>
  </si>
  <si>
    <t>row</t>
  </si>
  <si>
    <t>Rest of World</t>
  </si>
  <si>
    <t>Qcap_exist (GW)</t>
  </si>
  <si>
    <t>Dmax_2025 (GW)</t>
  </si>
  <si>
    <t>Dmax_2030 (GW)</t>
  </si>
  <si>
    <t>Dmax_2035(GW)</t>
  </si>
  <si>
    <t>Dmax_2040 (GW)</t>
  </si>
  <si>
    <t>c_man (USD/kW)</t>
  </si>
  <si>
    <t>c_inv (mUSD/GW-yr)</t>
  </si>
  <si>
    <t>f_hold (mUSD/GW-yr)</t>
  </si>
  <si>
    <t>notes</t>
  </si>
  <si>
    <t>Kcap_2025 (GW)</t>
  </si>
  <si>
    <t>g_exp_ub (rate/yr)</t>
  </si>
  <si>
    <t>g_dec_ub (rate/yr)</t>
  </si>
  <si>
    <t>p_offer_max (USD/kW)</t>
  </si>
  <si>
    <t>rho_p (scalar)</t>
  </si>
  <si>
    <t>a_dem_2025</t>
  </si>
  <si>
    <t>a_dem_2030</t>
  </si>
  <si>
    <t>a_dem_2035</t>
  </si>
  <si>
    <t>a_dem_2040</t>
  </si>
  <si>
    <t>b_dem_2025</t>
  </si>
  <si>
    <t>b_dem_2030</t>
  </si>
  <si>
    <t>b_dem_2035</t>
  </si>
  <si>
    <t>b_dem_2040</t>
  </si>
  <si>
    <t>c_inv = Annualized Integrated CapEx (20 yr). f_hold = Fixed O&amp;M (~2% CapEx).</t>
  </si>
  <si>
    <t>Merged APAC+ROA on 2026-03-02: Dmax/Qcap summed; c_man,c_inv,f_hold demand-weighted by Dmax_2025; b_dem combined via 1/b=1/b1+1/b2.</t>
  </si>
  <si>
    <t>exporter</t>
  </si>
  <si>
    <t>README</t>
  </si>
  <si>
    <t xml:space="preserve">Solar supply chain model input data (new)
Units:
"- Costs (c_man, c_ship, tariffs): USD/kW"
"- Capacities and demand caps (Qcap_exist, Dmax, Xcap): GW"
Color convention:
Blue = editable inputs; Black = derived/formulas
</t>
  </si>
  <si>
    <t>q</t>
  </si>
  <si>
    <t>k</t>
  </si>
  <si>
    <t>china</t>
  </si>
  <si>
    <t>estimated WTP for full 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</si>
</sst>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C36" sqref="C36:C37"/>
    </sheetView>
  </sheetViews>
  <sheetFormatPr defaultColWidth="9.1796875" defaultRowHeight="14.5" x14ac:dyDescent="0.35"/>
  <sheetData>
    <row r="1" spans="1:2" x14ac:dyDescent="0.35">
      <c r="A1" s="1" t="s">
        <v>0</v>
      </c>
      <c r="B1" s="1" t="s">
        <v>1</v>
      </c>
    </row>
    <row r="2" spans="1:2" x14ac:dyDescent="0.35">
      <c r="A2" t="s">
        <v>2</v>
      </c>
    </row>
    <row r="3" spans="1:2" x14ac:dyDescent="0.35">
      <c r="A3" t="s">
        <v>3</v>
      </c>
      <c r="B3" t="s">
        <v>4</v>
      </c>
    </row>
    <row r="4" spans="1:2" x14ac:dyDescent="0.35">
      <c r="A4" t="s">
        <v>5</v>
      </c>
    </row>
    <row r="5" spans="1:2" x14ac:dyDescent="0.35">
      <c r="A5" t="s">
        <v>6</v>
      </c>
    </row>
    <row r="6" spans="1:2" x14ac:dyDescent="0.35">
      <c r="A6" t="s">
        <v>7</v>
      </c>
    </row>
    <row r="7" spans="1:2" x14ac:dyDescent="0.35">
      <c r="A7" t="s">
        <v>8</v>
      </c>
    </row>
    <row r="8" spans="1:2" x14ac:dyDescent="0.35">
      <c r="A8" t="s">
        <v>9</v>
      </c>
    </row>
    <row r="9" spans="1:2" x14ac:dyDescent="0.35">
      <c r="A9" t="s">
        <v>10</v>
      </c>
    </row>
    <row r="10" spans="1:2" x14ac:dyDescent="0.35">
      <c r="A10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D29" sqref="D29"/>
    </sheetView>
  </sheetViews>
  <sheetFormatPr defaultColWidth="9.1796875" defaultRowHeight="14.5" x14ac:dyDescent="0.35"/>
  <sheetData>
    <row r="1" spans="1:2" x14ac:dyDescent="0.35">
      <c r="A1" s="1" t="s">
        <v>12</v>
      </c>
      <c r="B1" s="1" t="s">
        <v>13</v>
      </c>
    </row>
    <row r="2" spans="1:2" x14ac:dyDescent="0.35">
      <c r="A2" t="s">
        <v>14</v>
      </c>
      <c r="B2" t="s">
        <v>15</v>
      </c>
    </row>
    <row r="3" spans="1:2" x14ac:dyDescent="0.35">
      <c r="A3" t="s">
        <v>16</v>
      </c>
      <c r="B3" t="s">
        <v>17</v>
      </c>
    </row>
    <row r="4" spans="1:2" x14ac:dyDescent="0.35">
      <c r="A4" t="s">
        <v>18</v>
      </c>
      <c r="B4" t="s">
        <v>19</v>
      </c>
    </row>
    <row r="5" spans="1:2" x14ac:dyDescent="0.35">
      <c r="A5" t="s">
        <v>20</v>
      </c>
      <c r="B5" t="s">
        <v>21</v>
      </c>
    </row>
    <row r="6" spans="1:2" x14ac:dyDescent="0.35">
      <c r="A6" t="s">
        <v>22</v>
      </c>
      <c r="B6" t="s">
        <v>23</v>
      </c>
    </row>
    <row r="7" spans="1:2" x14ac:dyDescent="0.35">
      <c r="A7" t="s">
        <v>24</v>
      </c>
      <c r="B7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8"/>
  <sheetViews>
    <sheetView tabSelected="1" topLeftCell="A25" workbookViewId="0">
      <selection activeCell="G51" sqref="G50:G51"/>
    </sheetView>
  </sheetViews>
  <sheetFormatPr defaultColWidth="9.1796875" defaultRowHeight="14.5" x14ac:dyDescent="0.35"/>
  <cols>
    <col min="2" max="2" width="15.7265625" customWidth="1"/>
    <col min="3" max="3" width="22.7265625" customWidth="1"/>
    <col min="4" max="4" width="19" customWidth="1"/>
    <col min="5" max="5" width="15.453125" customWidth="1"/>
    <col min="6" max="6" width="15.7265625" customWidth="1"/>
    <col min="7" max="7" width="14.54296875" customWidth="1"/>
    <col min="8" max="8" width="24.90625" customWidth="1"/>
    <col min="9" max="9" width="20.54296875" customWidth="1"/>
    <col min="10" max="10" width="19" customWidth="1"/>
    <col min="11" max="11" width="18.36328125" customWidth="1"/>
    <col min="12" max="12" width="17.1796875" customWidth="1"/>
    <col min="13" max="13" width="17.54296875" customWidth="1"/>
    <col min="14" max="14" width="20.26953125" customWidth="1"/>
    <col min="15" max="15" width="22.1796875" customWidth="1"/>
    <col min="16" max="16" width="20" customWidth="1"/>
    <col min="17" max="17" width="18" customWidth="1"/>
    <col min="18" max="18" width="15.7265625" customWidth="1"/>
    <col min="19" max="19" width="15" customWidth="1"/>
    <col min="20" max="20" width="17.26953125" customWidth="1"/>
    <col min="21" max="21" width="16.81640625" customWidth="1"/>
    <col min="22" max="22" width="17.7265625" customWidth="1"/>
    <col min="23" max="23" width="20.81640625" customWidth="1"/>
  </cols>
  <sheetData>
    <row r="1" spans="1:23" x14ac:dyDescent="0.35">
      <c r="A1" s="2" t="s">
        <v>12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35</v>
      </c>
      <c r="L1" s="2" t="s">
        <v>36</v>
      </c>
      <c r="M1" s="2" t="s">
        <v>37</v>
      </c>
      <c r="N1" s="2" t="s">
        <v>38</v>
      </c>
      <c r="O1" s="2" t="s">
        <v>39</v>
      </c>
      <c r="P1" s="2" t="s">
        <v>40</v>
      </c>
      <c r="Q1" s="2" t="s">
        <v>41</v>
      </c>
      <c r="R1" s="2" t="s">
        <v>42</v>
      </c>
      <c r="S1" s="2" t="s">
        <v>43</v>
      </c>
      <c r="T1" s="6" t="s">
        <v>44</v>
      </c>
      <c r="U1" s="6" t="s">
        <v>45</v>
      </c>
      <c r="V1" s="6" t="s">
        <v>46</v>
      </c>
      <c r="W1" s="6" t="s">
        <v>47</v>
      </c>
    </row>
    <row r="2" spans="1:23" x14ac:dyDescent="0.35">
      <c r="A2" t="s">
        <v>14</v>
      </c>
      <c r="B2">
        <v>931</v>
      </c>
      <c r="C2">
        <v>278</v>
      </c>
      <c r="D2">
        <v>410</v>
      </c>
      <c r="E2">
        <v>540</v>
      </c>
      <c r="F2">
        <v>600</v>
      </c>
      <c r="G2">
        <v>163</v>
      </c>
      <c r="H2">
        <v>10</v>
      </c>
      <c r="I2">
        <v>4</v>
      </c>
      <c r="J2" t="s">
        <v>48</v>
      </c>
      <c r="K2">
        <v>20</v>
      </c>
      <c r="L2">
        <v>0.5</v>
      </c>
      <c r="M2">
        <v>0.5</v>
      </c>
      <c r="N2">
        <v>1000</v>
      </c>
      <c r="O2">
        <v>1E-3</v>
      </c>
      <c r="P2">
        <v>521.41999999999996</v>
      </c>
      <c r="Q2">
        <v>500</v>
      </c>
      <c r="R2">
        <v>500</v>
      </c>
      <c r="S2">
        <v>500</v>
      </c>
      <c r="T2" s="5">
        <v>0.59899999999999998</v>
      </c>
      <c r="U2" s="5">
        <v>0.40699999999999997</v>
      </c>
      <c r="V2" s="5">
        <v>0.34300000000000003</v>
      </c>
      <c r="W2" s="5">
        <v>0.309</v>
      </c>
    </row>
    <row r="3" spans="1:23" x14ac:dyDescent="0.35">
      <c r="A3" t="s">
        <v>16</v>
      </c>
      <c r="B3">
        <v>22</v>
      </c>
      <c r="C3">
        <v>58.99</v>
      </c>
      <c r="D3">
        <v>68</v>
      </c>
      <c r="E3">
        <v>145</v>
      </c>
      <c r="F3">
        <v>250</v>
      </c>
      <c r="G3">
        <v>299.25</v>
      </c>
      <c r="H3">
        <v>21.25</v>
      </c>
      <c r="I3">
        <v>8.5</v>
      </c>
      <c r="J3" t="s">
        <v>48</v>
      </c>
      <c r="K3">
        <v>20</v>
      </c>
      <c r="L3">
        <v>0.5</v>
      </c>
      <c r="M3">
        <v>0.5</v>
      </c>
      <c r="N3">
        <v>1000</v>
      </c>
      <c r="O3">
        <v>1E-3</v>
      </c>
      <c r="P3">
        <v>500</v>
      </c>
      <c r="Q3">
        <v>500</v>
      </c>
      <c r="R3">
        <v>500</v>
      </c>
      <c r="S3">
        <v>500</v>
      </c>
      <c r="T3" s="5">
        <v>3.141</v>
      </c>
      <c r="U3" s="5">
        <v>2.7240000000000002</v>
      </c>
      <c r="V3" s="5">
        <v>1.2769999999999999</v>
      </c>
      <c r="W3" s="5">
        <v>0.74099999999999999</v>
      </c>
    </row>
    <row r="4" spans="1:23" x14ac:dyDescent="0.35">
      <c r="A4" t="s">
        <v>18</v>
      </c>
      <c r="B4">
        <v>23</v>
      </c>
      <c r="C4">
        <v>38.270000000000003</v>
      </c>
      <c r="D4">
        <v>70</v>
      </c>
      <c r="E4">
        <v>95</v>
      </c>
      <c r="F4">
        <v>115</v>
      </c>
      <c r="G4">
        <v>321.25</v>
      </c>
      <c r="H4">
        <v>18.75</v>
      </c>
      <c r="I4">
        <v>7.5</v>
      </c>
      <c r="J4" t="s">
        <v>48</v>
      </c>
      <c r="K4">
        <v>20</v>
      </c>
      <c r="L4">
        <v>0.5</v>
      </c>
      <c r="M4">
        <v>0.5</v>
      </c>
      <c r="N4">
        <v>1000</v>
      </c>
      <c r="O4">
        <v>1E-3</v>
      </c>
      <c r="P4">
        <v>500</v>
      </c>
      <c r="Q4">
        <v>500</v>
      </c>
      <c r="R4">
        <v>500</v>
      </c>
      <c r="S4">
        <v>500</v>
      </c>
      <c r="T4" s="5">
        <v>4.8390000000000004</v>
      </c>
      <c r="U4" s="5">
        <v>2.6459999999999999</v>
      </c>
      <c r="V4" s="5">
        <v>1.9490000000000001</v>
      </c>
      <c r="W4" s="5">
        <v>1.61</v>
      </c>
    </row>
    <row r="5" spans="1:23" x14ac:dyDescent="0.35">
      <c r="A5" t="s">
        <v>20</v>
      </c>
      <c r="B5">
        <v>110</v>
      </c>
      <c r="C5">
        <v>49.08</v>
      </c>
      <c r="D5">
        <v>290</v>
      </c>
      <c r="E5">
        <v>375</v>
      </c>
      <c r="F5">
        <v>460</v>
      </c>
      <c r="G5">
        <v>265.75204563977178</v>
      </c>
      <c r="H5">
        <v>11.74022004889976</v>
      </c>
      <c r="I5">
        <v>4.6960880195599017</v>
      </c>
      <c r="J5" t="s">
        <v>49</v>
      </c>
      <c r="K5">
        <v>20</v>
      </c>
      <c r="L5">
        <v>0.5</v>
      </c>
      <c r="M5">
        <v>0.5</v>
      </c>
      <c r="N5">
        <v>1000</v>
      </c>
      <c r="O5">
        <v>1E-3</v>
      </c>
      <c r="P5">
        <v>500</v>
      </c>
      <c r="Q5">
        <v>500</v>
      </c>
      <c r="R5">
        <v>500</v>
      </c>
      <c r="S5">
        <v>500</v>
      </c>
      <c r="T5" s="5">
        <v>3.77408106497119</v>
      </c>
      <c r="U5" s="5">
        <v>0.63868335851500102</v>
      </c>
      <c r="V5" s="5">
        <v>0.48424802277760198</v>
      </c>
      <c r="W5" s="5">
        <v>0.40235724482512492</v>
      </c>
    </row>
    <row r="6" spans="1:23" x14ac:dyDescent="0.35">
      <c r="A6" t="s">
        <v>22</v>
      </c>
      <c r="B6">
        <v>3.4</v>
      </c>
      <c r="C6">
        <v>18.2</v>
      </c>
      <c r="D6">
        <v>33</v>
      </c>
      <c r="E6">
        <v>62</v>
      </c>
      <c r="F6">
        <v>90</v>
      </c>
      <c r="G6">
        <v>180.93</v>
      </c>
      <c r="H6">
        <v>22.5</v>
      </c>
      <c r="I6">
        <v>9</v>
      </c>
      <c r="J6" t="s">
        <v>48</v>
      </c>
      <c r="K6">
        <v>20</v>
      </c>
      <c r="L6">
        <v>0.5</v>
      </c>
      <c r="M6">
        <v>0.5</v>
      </c>
      <c r="N6">
        <v>1000</v>
      </c>
      <c r="O6">
        <v>1E-3</v>
      </c>
      <c r="P6">
        <v>500</v>
      </c>
      <c r="Q6">
        <v>500</v>
      </c>
      <c r="R6">
        <v>500</v>
      </c>
      <c r="S6">
        <v>500</v>
      </c>
      <c r="T6" s="5">
        <v>10.177</v>
      </c>
      <c r="U6" s="5">
        <v>5.6120000000000001</v>
      </c>
      <c r="V6" s="5">
        <v>2.9870000000000001</v>
      </c>
      <c r="W6" s="5">
        <v>2.0579999999999998</v>
      </c>
    </row>
    <row r="7" spans="1:23" x14ac:dyDescent="0.35">
      <c r="A7" t="s">
        <v>24</v>
      </c>
      <c r="B7">
        <v>293</v>
      </c>
      <c r="C7">
        <v>27.61</v>
      </c>
      <c r="D7">
        <v>90.56</v>
      </c>
      <c r="E7">
        <v>130</v>
      </c>
      <c r="F7">
        <v>180</v>
      </c>
      <c r="G7">
        <v>353.38</v>
      </c>
      <c r="H7">
        <v>22.5</v>
      </c>
      <c r="I7">
        <v>9</v>
      </c>
      <c r="J7" t="s">
        <v>48</v>
      </c>
      <c r="K7">
        <v>20</v>
      </c>
      <c r="L7">
        <v>0.5</v>
      </c>
      <c r="M7">
        <v>0.5</v>
      </c>
      <c r="N7">
        <v>1000</v>
      </c>
      <c r="O7">
        <v>1E-3</v>
      </c>
      <c r="P7">
        <v>500</v>
      </c>
      <c r="Q7">
        <v>500</v>
      </c>
      <c r="R7">
        <v>500</v>
      </c>
      <c r="S7">
        <v>500</v>
      </c>
      <c r="T7" s="5">
        <v>6.7110000000000003</v>
      </c>
      <c r="U7" s="5">
        <v>2.0449999999999999</v>
      </c>
      <c r="V7" s="5">
        <v>1.425</v>
      </c>
      <c r="W7" s="5">
        <v>1.026</v>
      </c>
    </row>
    <row r="8" spans="1:23" x14ac:dyDescent="0.35">
      <c r="T8" s="4"/>
      <c r="U8" s="4"/>
      <c r="V8" s="4"/>
      <c r="W8" s="4"/>
    </row>
    <row r="13" spans="1:23" ht="46" customHeight="1" x14ac:dyDescent="0.35">
      <c r="B13" s="7" t="s">
        <v>56</v>
      </c>
      <c r="C13" s="8">
        <v>521.41999999999996</v>
      </c>
      <c r="D13" s="9"/>
    </row>
    <row r="14" spans="1:23" x14ac:dyDescent="0.35">
      <c r="B14" s="10" t="s">
        <v>55</v>
      </c>
      <c r="C14" s="11" t="s">
        <v>53</v>
      </c>
      <c r="D14" s="12" t="s">
        <v>54</v>
      </c>
    </row>
    <row r="15" spans="1:23" x14ac:dyDescent="0.35">
      <c r="B15" s="13">
        <v>2025</v>
      </c>
      <c r="C15" s="14">
        <f>C2+0.5*$P$2</f>
        <v>538.71</v>
      </c>
      <c r="D15" s="15">
        <v>0.5</v>
      </c>
    </row>
    <row r="16" spans="1:23" x14ac:dyDescent="0.35">
      <c r="B16" s="13">
        <v>2030</v>
      </c>
      <c r="C16" s="14">
        <f>D2+0.5*$P$2</f>
        <v>670.71</v>
      </c>
      <c r="D16" s="15">
        <v>0.5</v>
      </c>
    </row>
    <row r="17" spans="2:22" x14ac:dyDescent="0.35">
      <c r="B17" s="13">
        <v>2035</v>
      </c>
      <c r="C17" s="14">
        <f>E2+0.5*$P$2</f>
        <v>800.71</v>
      </c>
      <c r="D17" s="15">
        <v>0.5</v>
      </c>
    </row>
    <row r="18" spans="2:22" x14ac:dyDescent="0.35">
      <c r="B18" s="16">
        <v>2040</v>
      </c>
      <c r="C18" s="17">
        <f>F2+0.5*$P$2</f>
        <v>860.71</v>
      </c>
      <c r="D18" s="18">
        <v>0.5</v>
      </c>
    </row>
    <row r="19" spans="2:22" x14ac:dyDescent="0.35">
      <c r="B19" s="4"/>
      <c r="C19" s="4"/>
      <c r="D19" s="4"/>
    </row>
    <row r="20" spans="2:22" x14ac:dyDescent="0.35">
      <c r="B20" s="4"/>
      <c r="C20" s="4"/>
      <c r="D20" s="4"/>
    </row>
    <row r="21" spans="2:22" ht="29" x14ac:dyDescent="0.35">
      <c r="B21" s="7" t="s">
        <v>56</v>
      </c>
      <c r="C21" s="8">
        <v>967.65</v>
      </c>
      <c r="D21" s="9"/>
    </row>
    <row r="22" spans="2:22" x14ac:dyDescent="0.35">
      <c r="B22" s="10" t="s">
        <v>16</v>
      </c>
      <c r="C22" s="11" t="s">
        <v>53</v>
      </c>
      <c r="D22" s="12" t="s">
        <v>54</v>
      </c>
    </row>
    <row r="23" spans="2:22" x14ac:dyDescent="0.35">
      <c r="B23" s="13">
        <v>2025</v>
      </c>
      <c r="C23" s="14">
        <f>C3+0.5*$P$2</f>
        <v>319.7</v>
      </c>
      <c r="D23" s="15">
        <v>0.5</v>
      </c>
    </row>
    <row r="24" spans="2:22" x14ac:dyDescent="0.35">
      <c r="B24" s="13">
        <v>2030</v>
      </c>
      <c r="C24" s="14">
        <f>D3+0.5*$P$2</f>
        <v>328.71</v>
      </c>
      <c r="D24" s="15">
        <v>0.5</v>
      </c>
      <c r="R24" s="3"/>
    </row>
    <row r="25" spans="2:22" x14ac:dyDescent="0.35">
      <c r="B25" s="13">
        <v>2035</v>
      </c>
      <c r="C25" s="14">
        <f>E3+0.5*$P$2</f>
        <v>405.71</v>
      </c>
      <c r="D25" s="15">
        <v>0.5</v>
      </c>
      <c r="R25" s="3"/>
    </row>
    <row r="26" spans="2:22" x14ac:dyDescent="0.35">
      <c r="B26" s="16">
        <v>2040</v>
      </c>
      <c r="C26" s="17">
        <f>F3+0.5*$P$2</f>
        <v>510.71</v>
      </c>
      <c r="D26" s="18">
        <v>0.5</v>
      </c>
      <c r="R26" s="3"/>
      <c r="S26" s="3"/>
      <c r="T26" s="3"/>
      <c r="U26" s="3"/>
      <c r="V26" s="3"/>
    </row>
    <row r="27" spans="2:22" x14ac:dyDescent="0.35">
      <c r="B27" s="4"/>
      <c r="C27" s="4"/>
      <c r="D27" s="4"/>
    </row>
    <row r="28" spans="2:22" x14ac:dyDescent="0.35">
      <c r="B28" s="4"/>
      <c r="C28" s="4"/>
      <c r="D28" s="4"/>
    </row>
    <row r="29" spans="2:22" ht="29" x14ac:dyDescent="0.35">
      <c r="B29" s="7" t="s">
        <v>56</v>
      </c>
      <c r="C29" s="8">
        <v>561.07000000000005</v>
      </c>
      <c r="D29" s="9"/>
    </row>
    <row r="30" spans="2:22" x14ac:dyDescent="0.35">
      <c r="B30" s="10" t="s">
        <v>18</v>
      </c>
      <c r="C30" s="11" t="s">
        <v>53</v>
      </c>
      <c r="D30" s="12" t="s">
        <v>54</v>
      </c>
    </row>
    <row r="31" spans="2:22" x14ac:dyDescent="0.35">
      <c r="B31" s="13">
        <v>2025</v>
      </c>
      <c r="C31" s="14">
        <f>C4+0.5*$P$2</f>
        <v>298.97999999999996</v>
      </c>
      <c r="D31" s="15">
        <v>0.5</v>
      </c>
    </row>
    <row r="32" spans="2:22" x14ac:dyDescent="0.35">
      <c r="B32" s="13">
        <v>2030</v>
      </c>
      <c r="C32" s="14">
        <f>D4+0.5*$P$2</f>
        <v>330.71</v>
      </c>
      <c r="D32" s="15">
        <v>0.5</v>
      </c>
    </row>
    <row r="33" spans="2:4" x14ac:dyDescent="0.35">
      <c r="B33" s="13">
        <v>2035</v>
      </c>
      <c r="C33" s="14">
        <f>E4+0.5*$P$2</f>
        <v>355.71</v>
      </c>
      <c r="D33" s="15">
        <v>0.5</v>
      </c>
    </row>
    <row r="34" spans="2:4" x14ac:dyDescent="0.35">
      <c r="B34" s="16">
        <v>2040</v>
      </c>
      <c r="C34" s="17">
        <f>F4+0.5*$P$2</f>
        <v>375.71</v>
      </c>
      <c r="D34" s="18">
        <v>0.5</v>
      </c>
    </row>
    <row r="35" spans="2:4" x14ac:dyDescent="0.35">
      <c r="B35" s="4"/>
      <c r="C35" s="4"/>
      <c r="D35" s="4"/>
    </row>
    <row r="36" spans="2:4" x14ac:dyDescent="0.35">
      <c r="B36" s="4"/>
      <c r="C36" s="4"/>
      <c r="D36" s="4"/>
    </row>
    <row r="37" spans="2:4" ht="29" x14ac:dyDescent="0.35">
      <c r="B37" s="7" t="s">
        <v>56</v>
      </c>
      <c r="C37" s="8">
        <v>534.14</v>
      </c>
      <c r="D37" s="9"/>
    </row>
    <row r="38" spans="2:4" x14ac:dyDescent="0.35">
      <c r="B38" s="10" t="s">
        <v>20</v>
      </c>
      <c r="C38" s="11" t="s">
        <v>53</v>
      </c>
      <c r="D38" s="12" t="s">
        <v>54</v>
      </c>
    </row>
    <row r="39" spans="2:4" x14ac:dyDescent="0.35">
      <c r="B39" s="13">
        <v>2025</v>
      </c>
      <c r="C39" s="14">
        <f>C5+0.5*$P$2</f>
        <v>309.78999999999996</v>
      </c>
      <c r="D39" s="15">
        <v>0.5</v>
      </c>
    </row>
    <row r="40" spans="2:4" x14ac:dyDescent="0.35">
      <c r="B40" s="13">
        <v>2030</v>
      </c>
      <c r="C40" s="14">
        <f>D5+0.5*$P$2</f>
        <v>550.71</v>
      </c>
      <c r="D40" s="15">
        <v>0.5</v>
      </c>
    </row>
    <row r="41" spans="2:4" x14ac:dyDescent="0.35">
      <c r="B41" s="13">
        <v>2035</v>
      </c>
      <c r="C41" s="14">
        <f>E5+0.5*$P$2</f>
        <v>635.71</v>
      </c>
      <c r="D41" s="15">
        <v>0.5</v>
      </c>
    </row>
    <row r="42" spans="2:4" x14ac:dyDescent="0.35">
      <c r="B42" s="16">
        <v>2040</v>
      </c>
      <c r="C42" s="17">
        <f>F5+0.5*$P$2</f>
        <v>720.71</v>
      </c>
      <c r="D42" s="18">
        <v>0.5</v>
      </c>
    </row>
    <row r="43" spans="2:4" x14ac:dyDescent="0.35">
      <c r="B43" s="4"/>
      <c r="C43" s="4"/>
      <c r="D43" s="4"/>
    </row>
    <row r="45" spans="2:4" ht="29" x14ac:dyDescent="0.35">
      <c r="B45" s="7" t="s">
        <v>56</v>
      </c>
      <c r="C45" s="8">
        <v>1135.5999999999999</v>
      </c>
      <c r="D45" s="9"/>
    </row>
    <row r="46" spans="2:4" x14ac:dyDescent="0.35">
      <c r="B46" s="10" t="s">
        <v>22</v>
      </c>
      <c r="C46" s="11" t="s">
        <v>53</v>
      </c>
      <c r="D46" s="12" t="s">
        <v>54</v>
      </c>
    </row>
    <row r="47" spans="2:4" x14ac:dyDescent="0.35">
      <c r="B47" s="13">
        <v>2025</v>
      </c>
      <c r="C47" s="14">
        <f>C6+0.5*$P$2</f>
        <v>278.90999999999997</v>
      </c>
      <c r="D47" s="15">
        <v>0.5</v>
      </c>
    </row>
    <row r="48" spans="2:4" x14ac:dyDescent="0.35">
      <c r="B48" s="13">
        <v>2030</v>
      </c>
      <c r="C48" s="14">
        <f>D6+0.5*$P$2</f>
        <v>293.70999999999998</v>
      </c>
      <c r="D48" s="15">
        <v>0.5</v>
      </c>
    </row>
    <row r="49" spans="2:4" x14ac:dyDescent="0.35">
      <c r="B49" s="13">
        <v>2035</v>
      </c>
      <c r="C49" s="14">
        <f>E6+0.5*$P$2</f>
        <v>322.70999999999998</v>
      </c>
      <c r="D49" s="15">
        <v>0.5</v>
      </c>
    </row>
    <row r="50" spans="2:4" x14ac:dyDescent="0.35">
      <c r="B50" s="16">
        <v>2040</v>
      </c>
      <c r="C50" s="17">
        <f>F6+0.5*$P$2</f>
        <v>350.71</v>
      </c>
      <c r="D50" s="18">
        <v>0.5</v>
      </c>
    </row>
    <row r="51" spans="2:4" x14ac:dyDescent="0.35">
      <c r="B51" s="4"/>
      <c r="C51" s="4"/>
      <c r="D51" s="4"/>
    </row>
    <row r="52" spans="2:4" x14ac:dyDescent="0.35">
      <c r="B52" s="4"/>
      <c r="C52" s="4"/>
      <c r="D52" s="4"/>
    </row>
    <row r="53" spans="2:4" ht="29" x14ac:dyDescent="0.35">
      <c r="B53" s="7" t="s">
        <v>56</v>
      </c>
      <c r="C53" s="8">
        <v>969.52</v>
      </c>
      <c r="D53" s="9"/>
    </row>
    <row r="54" spans="2:4" x14ac:dyDescent="0.35">
      <c r="B54" s="10" t="s">
        <v>24</v>
      </c>
      <c r="C54" s="11" t="s">
        <v>53</v>
      </c>
      <c r="D54" s="12" t="s">
        <v>54</v>
      </c>
    </row>
    <row r="55" spans="2:4" x14ac:dyDescent="0.35">
      <c r="B55" s="13">
        <v>2025</v>
      </c>
      <c r="C55" s="14">
        <f>C7+0.5*$P$2</f>
        <v>288.32</v>
      </c>
      <c r="D55" s="15">
        <v>0.5</v>
      </c>
    </row>
    <row r="56" spans="2:4" x14ac:dyDescent="0.35">
      <c r="B56" s="13">
        <v>2030</v>
      </c>
      <c r="C56" s="14">
        <f>D7+0.5*$P$2</f>
        <v>351.27</v>
      </c>
      <c r="D56" s="15">
        <v>0.5</v>
      </c>
    </row>
    <row r="57" spans="2:4" x14ac:dyDescent="0.35">
      <c r="B57" s="13">
        <v>2035</v>
      </c>
      <c r="C57" s="14">
        <f>E7+0.5*$P$2</f>
        <v>390.71</v>
      </c>
      <c r="D57" s="15">
        <v>0.5</v>
      </c>
    </row>
    <row r="58" spans="2:4" x14ac:dyDescent="0.35">
      <c r="B58" s="16">
        <v>2040</v>
      </c>
      <c r="C58" s="17">
        <f>F7+0.5*$P$2</f>
        <v>440.71</v>
      </c>
      <c r="D58" s="18">
        <v>0.5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defaultColWidth="9.1796875" defaultRowHeight="14.5" x14ac:dyDescent="0.35"/>
  <sheetData>
    <row r="1" spans="1:7" x14ac:dyDescent="0.35">
      <c r="A1" t="s">
        <v>50</v>
      </c>
      <c r="B1" t="s">
        <v>14</v>
      </c>
      <c r="C1" t="s">
        <v>16</v>
      </c>
      <c r="D1" t="s">
        <v>18</v>
      </c>
      <c r="E1" t="s">
        <v>20</v>
      </c>
      <c r="F1" t="s">
        <v>22</v>
      </c>
      <c r="G1" t="s">
        <v>24</v>
      </c>
    </row>
    <row r="2" spans="1:7" x14ac:dyDescent="0.35">
      <c r="A2" t="s">
        <v>14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35">
      <c r="A3" t="s">
        <v>16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35">
      <c r="A4" t="s">
        <v>18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35">
      <c r="A5" t="s">
        <v>20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35">
      <c r="A6" t="s">
        <v>22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35">
      <c r="A7" t="s">
        <v>24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defaultColWidth="9.1796875" defaultRowHeight="14.5" x14ac:dyDescent="0.35"/>
  <sheetData>
    <row r="1" spans="1:1" x14ac:dyDescent="0.35">
      <c r="A1" s="1" t="s">
        <v>51</v>
      </c>
    </row>
    <row r="2" spans="1:1" x14ac:dyDescent="0.35">
      <c r="A2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regions</vt:lpstr>
      <vt:lpstr>params_region</vt:lpstr>
      <vt:lpstr>c_ship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Csekö, Alexander</cp:lastModifiedBy>
  <dcterms:created xsi:type="dcterms:W3CDTF">2026-02-26T19:53:34Z</dcterms:created>
  <dcterms:modified xsi:type="dcterms:W3CDTF">2026-03-02T14:48:50Z</dcterms:modified>
</cp:coreProperties>
</file>