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inputs\"/>
    </mc:Choice>
  </mc:AlternateContent>
  <xr:revisionPtr revIDLastSave="0" documentId="13_ncr:1_{21702A02-F86E-43C4-97DE-1A5FE1766CD3}" xr6:coauthVersionLast="47" xr6:coauthVersionMax="47" xr10:uidLastSave="{00000000-0000-0000-0000-000000000000}"/>
  <bookViews>
    <workbookView xWindow="3915" yWindow="3975" windowWidth="31530" windowHeight="16905" activeTab="2" xr2:uid="{00000000-000D-0000-FFFF-FFFF00000000}"/>
  </bookViews>
  <sheets>
    <sheet name="settings" sheetId="1" r:id="rId1"/>
    <sheet name="regions" sheetId="2" r:id="rId2"/>
    <sheet name="params_region" sheetId="3" r:id="rId3"/>
    <sheet name="params_region_new" sheetId="10" r:id="rId4"/>
    <sheet name="c_ship" sheetId="4" r:id="rId5"/>
    <sheet name="README" sheetId="5" r:id="rId6"/>
    <sheet name="initial_state" sheetId="7" r:id="rId7"/>
    <sheet name="research" sheetId="8" r:id="rId8"/>
    <sheet name="old_deman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0" l="1"/>
  <c r="R7" i="10"/>
  <c r="Q7" i="10"/>
  <c r="P7" i="10"/>
  <c r="I7" i="10"/>
  <c r="S6" i="10"/>
  <c r="R6" i="10"/>
  <c r="Q6" i="10"/>
  <c r="P6" i="10"/>
  <c r="I6" i="10"/>
  <c r="S5" i="10"/>
  <c r="R5" i="10"/>
  <c r="Q5" i="10"/>
  <c r="P5" i="10"/>
  <c r="I5" i="10"/>
  <c r="S4" i="10"/>
  <c r="R4" i="10"/>
  <c r="Q4" i="10"/>
  <c r="P4" i="10"/>
  <c r="I4" i="10"/>
  <c r="S3" i="10"/>
  <c r="R3" i="10"/>
  <c r="Q3" i="10"/>
  <c r="P3" i="10"/>
  <c r="I3" i="10"/>
  <c r="S2" i="10"/>
  <c r="R2" i="10"/>
  <c r="Q2" i="10"/>
  <c r="P2" i="10"/>
  <c r="I2" i="10"/>
  <c r="W7" i="3" l="1"/>
  <c r="V7" i="3"/>
  <c r="U7" i="3"/>
  <c r="T7" i="3"/>
  <c r="S7" i="3"/>
  <c r="R7" i="3"/>
  <c r="Q7" i="3"/>
  <c r="P7" i="3"/>
  <c r="I7" i="3"/>
  <c r="W6" i="3"/>
  <c r="V6" i="3"/>
  <c r="U6" i="3"/>
  <c r="T6" i="3"/>
  <c r="S6" i="3"/>
  <c r="R6" i="3"/>
  <c r="Q6" i="3"/>
  <c r="P6" i="3"/>
  <c r="I6" i="3"/>
  <c r="W5" i="3"/>
  <c r="V5" i="3"/>
  <c r="U5" i="3"/>
  <c r="T5" i="3"/>
  <c r="S5" i="3"/>
  <c r="R5" i="3"/>
  <c r="Q5" i="3"/>
  <c r="P5" i="3"/>
  <c r="I5" i="3"/>
  <c r="W4" i="3"/>
  <c r="V4" i="3"/>
  <c r="U4" i="3"/>
  <c r="T4" i="3"/>
  <c r="S4" i="3"/>
  <c r="R4" i="3"/>
  <c r="Q4" i="3"/>
  <c r="P4" i="3"/>
  <c r="I4" i="3"/>
  <c r="W3" i="3"/>
  <c r="V3" i="3"/>
  <c r="U3" i="3"/>
  <c r="T3" i="3"/>
  <c r="S3" i="3"/>
  <c r="R3" i="3"/>
  <c r="Q3" i="3"/>
  <c r="P3" i="3"/>
  <c r="I3" i="3"/>
  <c r="W2" i="3"/>
  <c r="V2" i="3"/>
  <c r="U2" i="3"/>
  <c r="T2" i="3"/>
  <c r="S2" i="3"/>
  <c r="R2" i="3"/>
  <c r="Q2" i="3"/>
  <c r="P2" i="3"/>
  <c r="I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N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Full-demand threshold price p_full, set equal to regional WTP in USD/kW.</t>
        </r>
      </text>
    </comment>
    <comment ref="O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Absolute value of demand elasticity used for base calibration scenario.</t>
        </r>
      </text>
    </comment>
    <comment ref="P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Inverse-demand intercept a_dem = p_full*(1+1/eps_abs_base). Unit: USD/kW.</t>
        </r>
      </text>
    </comment>
    <comment ref="Q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Inverse-demand intercept a_dem = p_full*(1+1/eps_abs_base). Unit: USD/kW.</t>
        </r>
      </text>
    </comment>
    <comment ref="R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Inverse-demand intercept a_dem = p_full*(1+1/eps_abs_base). Unit: USD/kW.</t>
        </r>
      </text>
    </comment>
    <comment ref="S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Inverse-demand intercept a_dem = p_full*(1+1/eps_abs_base). Unit: USD/kW.</t>
        </r>
      </text>
    </comment>
    <comment ref="T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Inverse-demand slope b_dem_2025 = p_full/(eps_abs_base*dmax_2025). Unit: (USD/kW)/GW.</t>
        </r>
      </text>
    </comment>
    <comment ref="U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Inverse-demand slope b_dem_2030 = p_full/(eps_abs_base*dmax_2030). Unit: (USD/kW)/GW.</t>
        </r>
      </text>
    </comment>
    <comment ref="V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Inverse-demand slope b_dem_2035 = p_full/(eps_abs_base*dmax_2035). Unit: (USD/kW)/GW.</t>
        </r>
      </text>
    </comment>
    <comment ref="W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Inverse-demand slope b_dem_2040 = p_full/(eps_abs_base*dmax_2040). Unit: (USD/kW)/GW.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N1" authorId="0" shapeId="0" xr:uid="{47F665BF-8293-4D3E-B9BD-15A1A4536E3D}">
      <text>
        <r>
          <rPr>
            <sz val="11"/>
            <color theme="1"/>
            <rFont val="Calibri"/>
            <family val="2"/>
            <scheme val="minor"/>
          </rPr>
          <t>Full-demand threshold price p_full, set equal to regional WTP in USD/kW.</t>
        </r>
      </text>
    </comment>
    <comment ref="O1" authorId="0" shapeId="0" xr:uid="{F70412CF-6507-46F0-BF56-AEF1F2975E26}">
      <text>
        <r>
          <rPr>
            <sz val="11"/>
            <color theme="1"/>
            <rFont val="Calibri"/>
            <family val="2"/>
            <scheme val="minor"/>
          </rPr>
          <t>Absolute value of demand elasticity used for base calibration scenario.</t>
        </r>
      </text>
    </comment>
    <comment ref="P1" authorId="0" shapeId="0" xr:uid="{FCE5DF1B-2AF5-4476-AE75-8D097E24C44F}">
      <text>
        <r>
          <rPr>
            <sz val="11"/>
            <color theme="1"/>
            <rFont val="Calibri"/>
            <family val="2"/>
            <scheme val="minor"/>
          </rPr>
          <t>Inverse-demand intercept a_dem = p_full*(1+1/eps_abs_base). Unit: USD/kW.</t>
        </r>
      </text>
    </comment>
    <comment ref="Q1" authorId="0" shapeId="0" xr:uid="{79301CAF-0844-4AB3-A488-2B33C92AEB7A}">
      <text>
        <r>
          <rPr>
            <sz val="11"/>
            <color theme="1"/>
            <rFont val="Calibri"/>
            <family val="2"/>
            <scheme val="minor"/>
          </rPr>
          <t>Inverse-demand intercept a_dem = p_full*(1+1/eps_abs_base). Unit: USD/kW.</t>
        </r>
      </text>
    </comment>
    <comment ref="R1" authorId="0" shapeId="0" xr:uid="{E6F3FA0E-741B-4A5F-BE0E-3802D8F1A660}">
      <text>
        <r>
          <rPr>
            <sz val="11"/>
            <color theme="1"/>
            <rFont val="Calibri"/>
            <family val="2"/>
            <scheme val="minor"/>
          </rPr>
          <t>Inverse-demand intercept a_dem = p_full*(1+1/eps_abs_base). Unit: USD/kW.</t>
        </r>
      </text>
    </comment>
    <comment ref="S1" authorId="0" shapeId="0" xr:uid="{24E7A962-F2BD-4A2A-B332-6B2A989D1107}">
      <text>
        <r>
          <rPr>
            <sz val="11"/>
            <color theme="1"/>
            <rFont val="Calibri"/>
            <family val="2"/>
            <scheme val="minor"/>
          </rPr>
          <t>Inverse-demand intercept a_dem = p_full*(1+1/eps_abs_base). Unit: USD/kW.</t>
        </r>
      </text>
    </comment>
    <comment ref="T1" authorId="0" shapeId="0" xr:uid="{B5C7AA7C-996E-4C07-98B4-8833BF33F141}">
      <text>
        <r>
          <rPr>
            <sz val="11"/>
            <color theme="1"/>
            <rFont val="Calibri"/>
            <family val="2"/>
            <scheme val="minor"/>
          </rPr>
          <t>Inverse-demand slope b_dem_2025 = p_full/(eps_abs_base*dmax_2025). Unit: (USD/kW)/GW.</t>
        </r>
      </text>
    </comment>
    <comment ref="U1" authorId="0" shapeId="0" xr:uid="{8358BC5C-8508-4B09-9CB8-40DEABBD2C87}">
      <text>
        <r>
          <rPr>
            <sz val="11"/>
            <color theme="1"/>
            <rFont val="Calibri"/>
            <family val="2"/>
            <scheme val="minor"/>
          </rPr>
          <t>Inverse-demand slope b_dem_2030 = p_full/(eps_abs_base*dmax_2030). Unit: (USD/kW)/GW.</t>
        </r>
      </text>
    </comment>
    <comment ref="V1" authorId="0" shapeId="0" xr:uid="{E9803227-9B53-44D4-8EC8-50C532D94382}">
      <text>
        <r>
          <rPr>
            <sz val="11"/>
            <color theme="1"/>
            <rFont val="Calibri"/>
            <family val="2"/>
            <scheme val="minor"/>
          </rPr>
          <t>Inverse-demand slope b_dem_2035 = p_full/(eps_abs_base*dmax_2035). Unit: (USD/kW)/GW.</t>
        </r>
      </text>
    </comment>
    <comment ref="W1" authorId="0" shapeId="0" xr:uid="{8B5EDABB-505A-4F78-807E-8735E6DB3744}">
      <text>
        <r>
          <rPr>
            <sz val="11"/>
            <color theme="1"/>
            <rFont val="Calibri"/>
            <family val="2"/>
            <scheme val="minor"/>
          </rPr>
          <t>Inverse-demand slope b_dem_2040 = p_full/(eps_abs_base*dmax_2040). Unit: (USD/kW)/GW.</t>
        </r>
      </text>
    </comment>
  </commentList>
</comments>
</file>

<file path=xl/sharedStrings.xml><?xml version="1.0" encoding="utf-8"?>
<sst xmlns="http://schemas.openxmlformats.org/spreadsheetml/2006/main" count="191" uniqueCount="75">
  <si>
    <t>region</t>
  </si>
  <si>
    <t>qcap_exist_gw</t>
  </si>
  <si>
    <t>dmax_2025_gw</t>
  </si>
  <si>
    <t>dmax_2030_gw</t>
  </si>
  <si>
    <t>dmax_2035_gw</t>
  </si>
  <si>
    <t>dmax_2040_gw</t>
  </si>
  <si>
    <t>c_man_usd_per_kw</t>
  </si>
  <si>
    <t>c_inv_musd_per_gw_per_yr</t>
  </si>
  <si>
    <t>c_hold_musd_per_gw_per_yr</t>
  </si>
  <si>
    <t>g_exp_ub_per_yr_gw</t>
  </si>
  <si>
    <t>g_dec_ub_per_yr</t>
  </si>
  <si>
    <t>p_offer_max_usd_per_kw</t>
  </si>
  <si>
    <t>rho_p_scalar</t>
  </si>
  <si>
    <t>p_full_usd_per_kw</t>
  </si>
  <si>
    <t>eps_abs_base_scalar</t>
  </si>
  <si>
    <t>a_dem_2025_usd_per_kw</t>
  </si>
  <si>
    <t>a_dem_2030_usd_per_kw</t>
  </si>
  <si>
    <t>a_dem_2035_usd_per_kw</t>
  </si>
  <si>
    <t>a_dem_2040_usd_per_kw</t>
  </si>
  <si>
    <t>b_dem_2025_usd_per_kw_per_gw</t>
  </si>
  <si>
    <t>b_dem_2030_usd_per_kw_per_gw</t>
  </si>
  <si>
    <t>b_dem_2035_usd_per_kw_per_gw</t>
  </si>
  <si>
    <t>b_dem_2040_usd_per_kw_per_gw</t>
  </si>
  <si>
    <t>ch</t>
  </si>
  <si>
    <t>eu</t>
  </si>
  <si>
    <t>us</t>
  </si>
  <si>
    <t>roa</t>
  </si>
  <si>
    <t>af</t>
  </si>
  <si>
    <t>row</t>
  </si>
  <si>
    <t>setting</t>
  </si>
  <si>
    <t>value</t>
  </si>
  <si>
    <t>tau_max</t>
  </si>
  <si>
    <t>players</t>
  </si>
  <si>
    <t>ch,eu,us,apac,af,row</t>
  </si>
  <si>
    <t>damping_eta</t>
  </si>
  <si>
    <t>eps_comp</t>
  </si>
  <si>
    <t>eps_x</t>
  </si>
  <si>
    <t>scenario_welfare</t>
  </si>
  <si>
    <t>capitalistic_players</t>
  </si>
  <si>
    <t>use_quad</t>
  </si>
  <si>
    <t>scenario_capitalistic_china</t>
  </si>
  <si>
    <t>region_name</t>
  </si>
  <si>
    <t>China</t>
  </si>
  <si>
    <t>Europe</t>
  </si>
  <si>
    <t>North America</t>
  </si>
  <si>
    <t>apac</t>
  </si>
  <si>
    <t>Asia (APAC+ROA)</t>
  </si>
  <si>
    <t>Africa</t>
  </si>
  <si>
    <t>Rest of World</t>
  </si>
  <si>
    <t>exporter</t>
  </si>
  <si>
    <t>README</t>
  </si>
  <si>
    <t xml:space="preserve">Solar supply chain model input data (updated demand calibration)
Header naming convention:
- lower-case snake_case
- unit suffixes embedded in the header name
Demand calibration (base case):
- p_full_usd_per_kw = regional full-demand threshold price, set equal to WTP
- eps_abs_base_scalar = 0.90
- a_dem_t_usd_per_kw = p_full * (1 + 1 / eps_abs_base)
- b_dem_t_usd_per_kw_per_gw = p_full / (eps_abs_base * dmax_t)
Core units:
- prices and manufacturing costs: usd_per_kw
- capacities and demand caps: gw
- investment / holding costs: musd_per_gw_per_yr
</t>
  </si>
  <si>
    <t>t</t>
  </si>
  <si>
    <t>Q_offer</t>
  </si>
  <si>
    <t>dK_net</t>
  </si>
  <si>
    <t>a_bid</t>
  </si>
  <si>
    <t>p_offer_ch</t>
  </si>
  <si>
    <t>p_offer_eu</t>
  </si>
  <si>
    <t>p_offer_us</t>
  </si>
  <si>
    <t>p_offer_apac</t>
  </si>
  <si>
    <t>p_offer_af</t>
  </si>
  <si>
    <t>p_offer_row</t>
  </si>
  <si>
    <t>2025</t>
  </si>
  <si>
    <t>2030</t>
  </si>
  <si>
    <t>2035</t>
  </si>
  <si>
    <t>2040</t>
  </si>
  <si>
    <t>2045</t>
  </si>
  <si>
    <t>Renewables 2025</t>
  </si>
  <si>
    <t>china</t>
  </si>
  <si>
    <t>2025-2030</t>
  </si>
  <si>
    <t>EU</t>
  </si>
  <si>
    <t>Asia Pacific</t>
  </si>
  <si>
    <t>US</t>
  </si>
  <si>
    <t>ROW</t>
  </si>
  <si>
    <t xml:space="preserve">from regioanal summaries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</si>
</sst>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0" borderId="3" xfId="0" applyFont="1" applyBorder="1" applyAlignment="1">
      <alignment horizontal="center" vertical="top"/>
    </xf>
    <xf numFmtId="0" fontId="4" fillId="0" borderId="0" xfId="1"/>
    <xf numFmtId="3" fontId="5" fillId="0" borderId="0" xfId="0" applyNumberFormat="1" applyFont="1" applyAlignment="1">
      <alignment horizontal="right"/>
    </xf>
    <xf numFmtId="4" fontId="0" fillId="0" borderId="0" xfId="0" applyNumberFormat="1"/>
    <xf numFmtId="4" fontId="5" fillId="0" borderId="0" xfId="0" applyNumberFormat="1" applyFont="1" applyAlignment="1">
      <alignment horizontal="righ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2</xdr:row>
      <xdr:rowOff>31623</xdr:rowOff>
    </xdr:from>
    <xdr:to>
      <xdr:col>14</xdr:col>
      <xdr:colOff>753846</xdr:colOff>
      <xdr:row>22</xdr:row>
      <xdr:rowOff>95936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B98F21F-83BC-6197-8112-B72E85A40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5700" y="412623"/>
          <a:ext cx="7726146" cy="3874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ea.blob.core.windows.net/assets/76ad6eac-2aa6-4c55-9a55-b8dc0dba9f9e/Renewables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29</v>
      </c>
      <c r="B1" s="1" t="s">
        <v>30</v>
      </c>
    </row>
    <row r="2" spans="1:2" x14ac:dyDescent="0.25">
      <c r="A2" t="s">
        <v>31</v>
      </c>
    </row>
    <row r="3" spans="1:2" x14ac:dyDescent="0.25">
      <c r="A3" t="s">
        <v>32</v>
      </c>
      <c r="B3" t="s">
        <v>33</v>
      </c>
    </row>
    <row r="4" spans="1:2" x14ac:dyDescent="0.25">
      <c r="A4" t="s">
        <v>34</v>
      </c>
    </row>
    <row r="5" spans="1:2" x14ac:dyDescent="0.25">
      <c r="A5" t="s">
        <v>35</v>
      </c>
    </row>
    <row r="6" spans="1:2" x14ac:dyDescent="0.25">
      <c r="A6" t="s">
        <v>36</v>
      </c>
    </row>
    <row r="7" spans="1:2" x14ac:dyDescent="0.25">
      <c r="A7" t="s">
        <v>37</v>
      </c>
    </row>
    <row r="8" spans="1:2" x14ac:dyDescent="0.25">
      <c r="A8" t="s">
        <v>38</v>
      </c>
    </row>
    <row r="9" spans="1:2" x14ac:dyDescent="0.25">
      <c r="A9" t="s">
        <v>39</v>
      </c>
    </row>
    <row r="10" spans="1:2" x14ac:dyDescent="0.25">
      <c r="A1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41</v>
      </c>
    </row>
    <row r="2" spans="1:2" x14ac:dyDescent="0.25">
      <c r="A2" t="s">
        <v>23</v>
      </c>
      <c r="B2" t="s">
        <v>42</v>
      </c>
    </row>
    <row r="3" spans="1:2" x14ac:dyDescent="0.25">
      <c r="A3" t="s">
        <v>24</v>
      </c>
      <c r="B3" t="s">
        <v>43</v>
      </c>
    </row>
    <row r="4" spans="1:2" x14ac:dyDescent="0.25">
      <c r="A4" t="s">
        <v>25</v>
      </c>
      <c r="B4" t="s">
        <v>44</v>
      </c>
    </row>
    <row r="5" spans="1:2" x14ac:dyDescent="0.25">
      <c r="A5" t="s">
        <v>45</v>
      </c>
      <c r="B5" t="s">
        <v>46</v>
      </c>
    </row>
    <row r="6" spans="1:2" x14ac:dyDescent="0.25">
      <c r="A6" t="s">
        <v>27</v>
      </c>
      <c r="B6" t="s">
        <v>47</v>
      </c>
    </row>
    <row r="7" spans="1:2" x14ac:dyDescent="0.25">
      <c r="A7" t="s">
        <v>28</v>
      </c>
      <c r="B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6"/>
  <sheetViews>
    <sheetView tabSelected="1" topLeftCell="E1" workbookViewId="0">
      <selection activeCell="J9" sqref="J9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21.42578125" customWidth="1"/>
    <col min="4" max="4" width="18.7109375" customWidth="1"/>
    <col min="5" max="6" width="20.28515625" customWidth="1"/>
    <col min="7" max="7" width="25.7109375" customWidth="1"/>
    <col min="8" max="8" width="26" customWidth="1"/>
    <col min="9" max="9" width="30.5703125" customWidth="1"/>
    <col min="10" max="10" width="20.42578125" customWidth="1"/>
    <col min="11" max="11" width="23.140625" customWidth="1"/>
    <col min="12" max="12" width="28" customWidth="1"/>
    <col min="13" max="13" width="16.5703125" customWidth="1"/>
    <col min="14" max="14" width="18" customWidth="1"/>
    <col min="15" max="15" width="27.85546875" customWidth="1"/>
    <col min="16" max="16" width="25.42578125" customWidth="1"/>
    <col min="17" max="17" width="24.140625" customWidth="1"/>
    <col min="18" max="18" width="22.85546875" customWidth="1"/>
    <col min="19" max="19" width="28.5703125" customWidth="1"/>
    <col min="20" max="20" width="31.85546875" customWidth="1"/>
    <col min="21" max="21" width="31.42578125" customWidth="1"/>
    <col min="22" max="22" width="42.7109375" customWidth="1"/>
    <col min="23" max="23" width="38.42578125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>
        <v>931</v>
      </c>
      <c r="C2">
        <v>278</v>
      </c>
      <c r="D2" s="10">
        <v>410</v>
      </c>
      <c r="E2">
        <v>540</v>
      </c>
      <c r="F2">
        <v>600</v>
      </c>
      <c r="G2">
        <v>163</v>
      </c>
      <c r="H2">
        <v>50</v>
      </c>
      <c r="I2">
        <f t="shared" ref="I2:I7" si="0">H2*0.05</f>
        <v>2.5</v>
      </c>
      <c r="J2">
        <v>27.4</v>
      </c>
      <c r="K2">
        <v>1</v>
      </c>
      <c r="L2">
        <v>1000</v>
      </c>
      <c r="M2">
        <v>1E-3</v>
      </c>
      <c r="N2" s="5">
        <v>521.41999999999996</v>
      </c>
      <c r="O2" s="5">
        <v>0.9</v>
      </c>
      <c r="P2" s="5">
        <f t="shared" ref="P2:S7" si="1">$N2*(1+1/$O2)</f>
        <v>1100.7755555555555</v>
      </c>
      <c r="Q2" s="5">
        <f t="shared" si="1"/>
        <v>1100.7755555555555</v>
      </c>
      <c r="R2" s="5">
        <f t="shared" si="1"/>
        <v>1100.7755555555555</v>
      </c>
      <c r="S2" s="5">
        <f t="shared" si="1"/>
        <v>1100.7755555555555</v>
      </c>
      <c r="T2" s="6">
        <f t="shared" ref="T2:T7" si="2">$N2/($O2*$C2)</f>
        <v>2.084012789768185</v>
      </c>
      <c r="U2" s="6">
        <f t="shared" ref="U2:U5" si="3">$N2/($O2*$D2)</f>
        <v>1.4130623306233061</v>
      </c>
      <c r="V2" s="6">
        <f t="shared" ref="V2:V5" si="4">$N2/($O2*$E2)</f>
        <v>1.0728806584362138</v>
      </c>
      <c r="W2" s="6">
        <f t="shared" ref="W2:W5" si="5">$N2/($O2*$F2)</f>
        <v>0.96559259259259256</v>
      </c>
    </row>
    <row r="3" spans="1:23" x14ac:dyDescent="0.25">
      <c r="A3" t="s">
        <v>24</v>
      </c>
      <c r="B3">
        <v>22</v>
      </c>
      <c r="C3">
        <v>58.99</v>
      </c>
      <c r="D3" s="10">
        <v>68</v>
      </c>
      <c r="E3">
        <v>145</v>
      </c>
      <c r="F3">
        <v>250</v>
      </c>
      <c r="G3">
        <v>299.25</v>
      </c>
      <c r="H3">
        <v>175</v>
      </c>
      <c r="I3">
        <f t="shared" si="0"/>
        <v>8.75</v>
      </c>
      <c r="J3">
        <v>3.6</v>
      </c>
      <c r="K3">
        <v>1</v>
      </c>
      <c r="L3">
        <v>1000</v>
      </c>
      <c r="M3">
        <v>1E-3</v>
      </c>
      <c r="N3" s="5">
        <v>967.65</v>
      </c>
      <c r="O3" s="5">
        <v>0.9</v>
      </c>
      <c r="P3" s="5">
        <f t="shared" si="1"/>
        <v>2042.8166666666666</v>
      </c>
      <c r="Q3" s="5">
        <f t="shared" si="1"/>
        <v>2042.8166666666666</v>
      </c>
      <c r="R3" s="5">
        <f t="shared" si="1"/>
        <v>2042.8166666666666</v>
      </c>
      <c r="S3" s="5">
        <f t="shared" si="1"/>
        <v>2042.8166666666666</v>
      </c>
      <c r="T3" s="6">
        <f t="shared" si="2"/>
        <v>18.226253037237949</v>
      </c>
      <c r="U3" s="6">
        <f t="shared" si="3"/>
        <v>15.811274509803921</v>
      </c>
      <c r="V3" s="6">
        <f t="shared" si="4"/>
        <v>7.4149425287356321</v>
      </c>
      <c r="W3" s="6">
        <f t="shared" si="5"/>
        <v>4.3006666666666664</v>
      </c>
    </row>
    <row r="4" spans="1:23" x14ac:dyDescent="0.25">
      <c r="A4" t="s">
        <v>25</v>
      </c>
      <c r="B4">
        <v>42</v>
      </c>
      <c r="C4">
        <v>38.270000000000003</v>
      </c>
      <c r="D4" s="10">
        <v>70</v>
      </c>
      <c r="E4">
        <v>95</v>
      </c>
      <c r="F4">
        <v>115</v>
      </c>
      <c r="G4">
        <v>321.25</v>
      </c>
      <c r="H4">
        <v>175</v>
      </c>
      <c r="I4">
        <f t="shared" si="0"/>
        <v>8.75</v>
      </c>
      <c r="J4">
        <v>14.5</v>
      </c>
      <c r="K4">
        <v>1</v>
      </c>
      <c r="L4">
        <v>1000</v>
      </c>
      <c r="M4">
        <v>1E-3</v>
      </c>
      <c r="N4" s="5">
        <v>561.07000000000005</v>
      </c>
      <c r="O4" s="5">
        <v>0.9</v>
      </c>
      <c r="P4" s="5">
        <f t="shared" si="1"/>
        <v>1184.4811111111112</v>
      </c>
      <c r="Q4" s="5">
        <f t="shared" si="1"/>
        <v>1184.4811111111112</v>
      </c>
      <c r="R4" s="5">
        <f t="shared" si="1"/>
        <v>1184.4811111111112</v>
      </c>
      <c r="S4" s="5">
        <f t="shared" si="1"/>
        <v>1184.4811111111112</v>
      </c>
      <c r="T4" s="6">
        <f t="shared" si="2"/>
        <v>16.289812153412885</v>
      </c>
      <c r="U4" s="6">
        <f t="shared" si="3"/>
        <v>8.9058730158730164</v>
      </c>
      <c r="V4" s="6">
        <f t="shared" si="4"/>
        <v>6.5622222222222231</v>
      </c>
      <c r="W4" s="6">
        <f t="shared" si="5"/>
        <v>5.4209661835748797</v>
      </c>
    </row>
    <row r="5" spans="1:23" x14ac:dyDescent="0.25">
      <c r="A5" t="s">
        <v>26</v>
      </c>
      <c r="B5">
        <v>110</v>
      </c>
      <c r="C5">
        <v>49.08</v>
      </c>
      <c r="D5" s="11">
        <v>290</v>
      </c>
      <c r="E5">
        <v>375</v>
      </c>
      <c r="F5">
        <v>460</v>
      </c>
      <c r="G5">
        <v>265.75</v>
      </c>
      <c r="H5">
        <v>57.5</v>
      </c>
      <c r="I5">
        <f t="shared" si="0"/>
        <v>2.875</v>
      </c>
      <c r="J5">
        <v>3.2479999999999989</v>
      </c>
      <c r="K5">
        <v>1</v>
      </c>
      <c r="L5">
        <v>1000</v>
      </c>
      <c r="M5">
        <v>1E-3</v>
      </c>
      <c r="N5" s="5">
        <v>534.14</v>
      </c>
      <c r="O5" s="5">
        <v>0.9</v>
      </c>
      <c r="P5" s="5">
        <f t="shared" si="1"/>
        <v>1127.6288888888889</v>
      </c>
      <c r="Q5" s="5">
        <f t="shared" si="1"/>
        <v>1127.6288888888889</v>
      </c>
      <c r="R5" s="5">
        <f t="shared" si="1"/>
        <v>1127.6288888888889</v>
      </c>
      <c r="S5" s="5">
        <f t="shared" si="1"/>
        <v>1127.6288888888889</v>
      </c>
      <c r="T5" s="6">
        <f t="shared" si="2"/>
        <v>12.092275649732862</v>
      </c>
      <c r="U5" s="6">
        <f t="shared" si="3"/>
        <v>2.046513409961686</v>
      </c>
      <c r="V5" s="6">
        <f t="shared" si="4"/>
        <v>1.5826370370370371</v>
      </c>
      <c r="W5" s="6">
        <f t="shared" si="5"/>
        <v>1.2901932367149758</v>
      </c>
    </row>
    <row r="6" spans="1:23" x14ac:dyDescent="0.25">
      <c r="A6" t="s">
        <v>27</v>
      </c>
      <c r="B6">
        <v>3.4</v>
      </c>
      <c r="C6">
        <v>5</v>
      </c>
      <c r="D6" s="10">
        <v>15</v>
      </c>
      <c r="E6">
        <v>62</v>
      </c>
      <c r="F6">
        <v>90</v>
      </c>
      <c r="G6">
        <v>180.93</v>
      </c>
      <c r="H6">
        <v>150</v>
      </c>
      <c r="I6">
        <f t="shared" si="0"/>
        <v>7.5</v>
      </c>
      <c r="J6">
        <v>0.2</v>
      </c>
      <c r="K6">
        <v>1</v>
      </c>
      <c r="L6">
        <v>1000</v>
      </c>
      <c r="M6">
        <v>1E-3</v>
      </c>
      <c r="N6" s="5">
        <v>1135.5999999999999</v>
      </c>
      <c r="O6" s="5">
        <v>0.9</v>
      </c>
      <c r="P6" s="5">
        <f t="shared" si="1"/>
        <v>2397.3777777777777</v>
      </c>
      <c r="Q6" s="5">
        <f t="shared" si="1"/>
        <v>2397.3777777777777</v>
      </c>
      <c r="R6" s="5">
        <f t="shared" si="1"/>
        <v>2397.3777777777777</v>
      </c>
      <c r="S6" s="5">
        <f t="shared" si="1"/>
        <v>2397.3777777777777</v>
      </c>
      <c r="T6" s="6">
        <f t="shared" si="2"/>
        <v>252.35555555555553</v>
      </c>
      <c r="U6" s="6">
        <f>$N6/($O6*$D7)</f>
        <v>16.699017704840887</v>
      </c>
      <c r="V6" s="6">
        <f>$N6/($O6*$E7)</f>
        <v>9.7059829059829053</v>
      </c>
      <c r="W6" s="6">
        <f>$N6/($O6*$F7)</f>
        <v>7.0098765432098764</v>
      </c>
    </row>
    <row r="7" spans="1:23" x14ac:dyDescent="0.25">
      <c r="A7" t="s">
        <v>28</v>
      </c>
      <c r="B7">
        <v>293</v>
      </c>
      <c r="C7">
        <v>27.61</v>
      </c>
      <c r="D7" s="12">
        <v>75.56</v>
      </c>
      <c r="E7">
        <v>130</v>
      </c>
      <c r="F7">
        <v>180</v>
      </c>
      <c r="G7">
        <v>353.38</v>
      </c>
      <c r="H7">
        <v>125</v>
      </c>
      <c r="I7">
        <f t="shared" si="0"/>
        <v>6.25</v>
      </c>
      <c r="J7">
        <v>8.6799999999999962</v>
      </c>
      <c r="K7">
        <v>1</v>
      </c>
      <c r="L7">
        <v>1000</v>
      </c>
      <c r="M7">
        <v>1E-3</v>
      </c>
      <c r="N7" s="5">
        <v>969.52</v>
      </c>
      <c r="O7" s="5">
        <v>0.9</v>
      </c>
      <c r="P7" s="5">
        <f t="shared" si="1"/>
        <v>2046.7644444444445</v>
      </c>
      <c r="Q7" s="5">
        <f t="shared" si="1"/>
        <v>2046.7644444444445</v>
      </c>
      <c r="R7" s="5">
        <f t="shared" si="1"/>
        <v>2046.7644444444445</v>
      </c>
      <c r="S7" s="5">
        <f t="shared" si="1"/>
        <v>2046.7644444444445</v>
      </c>
      <c r="T7" s="6">
        <f t="shared" si="2"/>
        <v>39.016459414865786</v>
      </c>
      <c r="U7" s="6">
        <f>$N7/($O7*$D6)</f>
        <v>71.816296296296301</v>
      </c>
      <c r="V7" s="6">
        <f>$N7/($O7*$E6)</f>
        <v>17.374910394265232</v>
      </c>
      <c r="W7" s="6">
        <f>$N7/($O7*$F6)</f>
        <v>11.969382716049383</v>
      </c>
    </row>
    <row r="8" spans="1:23" x14ac:dyDescent="0.25">
      <c r="T8" s="4"/>
      <c r="U8" s="4"/>
      <c r="V8" s="4"/>
    </row>
    <row r="9" spans="1:23" x14ac:dyDescent="0.25">
      <c r="B9" s="7"/>
    </row>
    <row r="10" spans="1:23" x14ac:dyDescent="0.25">
      <c r="A10" s="4"/>
      <c r="C10" s="4"/>
    </row>
    <row r="11" spans="1:23" x14ac:dyDescent="0.25">
      <c r="A11" s="4"/>
      <c r="C11" s="4"/>
    </row>
    <row r="12" spans="1:23" x14ac:dyDescent="0.25">
      <c r="A12" s="4"/>
    </row>
    <row r="13" spans="1:23" ht="30.6" customHeight="1" x14ac:dyDescent="0.25">
      <c r="A13" s="4"/>
    </row>
    <row r="14" spans="1:23" x14ac:dyDescent="0.25">
      <c r="A14" s="4"/>
      <c r="C14" s="5"/>
    </row>
    <row r="15" spans="1:23" x14ac:dyDescent="0.25">
      <c r="A15" s="4"/>
      <c r="C15" s="5"/>
    </row>
    <row r="16" spans="1:23" x14ac:dyDescent="0.25">
      <c r="A16" s="4"/>
      <c r="C16" s="5"/>
    </row>
    <row r="17" spans="3:21" x14ac:dyDescent="0.25">
      <c r="C17" s="5"/>
    </row>
    <row r="18" spans="3:21" x14ac:dyDescent="0.25">
      <c r="C18" s="5"/>
    </row>
    <row r="19" spans="3:21" x14ac:dyDescent="0.25">
      <c r="C19" s="5"/>
    </row>
    <row r="24" spans="3:21" x14ac:dyDescent="0.25">
      <c r="R24" s="3"/>
    </row>
    <row r="25" spans="3:21" x14ac:dyDescent="0.25">
      <c r="R25" s="3"/>
    </row>
    <row r="26" spans="3:21" x14ac:dyDescent="0.25">
      <c r="C26" s="5"/>
      <c r="R26" s="3"/>
      <c r="S26" s="3"/>
      <c r="T26" s="3"/>
      <c r="U26" s="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9C27-BBF7-41CE-8C8B-5B3DD823E765}">
  <dimension ref="A1:W26"/>
  <sheetViews>
    <sheetView topLeftCell="E1" workbookViewId="0">
      <selection activeCell="V14" sqref="V14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21.42578125" customWidth="1"/>
    <col min="4" max="4" width="18.7109375" customWidth="1"/>
    <col min="5" max="6" width="20.28515625" customWidth="1"/>
    <col min="7" max="7" width="25.7109375" customWidth="1"/>
    <col min="8" max="8" width="26" customWidth="1"/>
    <col min="9" max="9" width="30.5703125" customWidth="1"/>
    <col min="10" max="10" width="20.42578125" customWidth="1"/>
    <col min="11" max="11" width="23.140625" customWidth="1"/>
    <col min="12" max="12" width="28" customWidth="1"/>
    <col min="13" max="13" width="16.5703125" customWidth="1"/>
    <col min="14" max="14" width="18" customWidth="1"/>
    <col min="15" max="15" width="27.85546875" customWidth="1"/>
    <col min="16" max="16" width="25.42578125" customWidth="1"/>
    <col min="17" max="17" width="24.140625" customWidth="1"/>
    <col min="18" max="18" width="22.85546875" customWidth="1"/>
    <col min="19" max="19" width="28.5703125" customWidth="1"/>
    <col min="20" max="20" width="31.85546875" customWidth="1"/>
    <col min="21" max="21" width="31.42578125" customWidth="1"/>
    <col min="22" max="22" width="42.7109375" customWidth="1"/>
    <col min="23" max="23" width="38.42578125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>
        <v>931</v>
      </c>
      <c r="C2">
        <v>280</v>
      </c>
      <c r="D2">
        <v>350</v>
      </c>
      <c r="E2">
        <v>333</v>
      </c>
      <c r="F2">
        <v>316</v>
      </c>
      <c r="G2">
        <v>163</v>
      </c>
      <c r="H2">
        <v>50</v>
      </c>
      <c r="I2">
        <f t="shared" ref="I2:I7" si="0">H2*0.05</f>
        <v>2.5</v>
      </c>
      <c r="J2">
        <v>27.4</v>
      </c>
      <c r="K2">
        <v>1</v>
      </c>
      <c r="L2">
        <v>1000</v>
      </c>
      <c r="M2">
        <v>1E-3</v>
      </c>
      <c r="N2" s="5">
        <v>521.41999999999996</v>
      </c>
      <c r="O2" s="5">
        <v>0.9</v>
      </c>
      <c r="P2" s="5">
        <f t="shared" ref="P2:S7" si="1">$N2*(1+1/$O2)</f>
        <v>1100.7755555555555</v>
      </c>
      <c r="Q2" s="5">
        <f t="shared" si="1"/>
        <v>1100.7755555555555</v>
      </c>
      <c r="R2" s="5">
        <f t="shared" si="1"/>
        <v>1100.7755555555555</v>
      </c>
      <c r="S2" s="5">
        <f t="shared" si="1"/>
        <v>1100.7755555555555</v>
      </c>
      <c r="T2" s="6">
        <v>2.084012789768185</v>
      </c>
      <c r="U2" s="6">
        <v>1.4130623306233061</v>
      </c>
      <c r="V2" s="6">
        <v>1.0728806584362138</v>
      </c>
      <c r="W2" s="6">
        <v>0.96559259259259256</v>
      </c>
    </row>
    <row r="3" spans="1:23" x14ac:dyDescent="0.25">
      <c r="A3" t="s">
        <v>24</v>
      </c>
      <c r="B3">
        <v>22</v>
      </c>
      <c r="C3">
        <v>75</v>
      </c>
      <c r="D3">
        <v>90</v>
      </c>
      <c r="E3">
        <v>95</v>
      </c>
      <c r="F3">
        <v>99</v>
      </c>
      <c r="G3">
        <v>299.25</v>
      </c>
      <c r="H3">
        <v>175</v>
      </c>
      <c r="I3">
        <f t="shared" si="0"/>
        <v>8.75</v>
      </c>
      <c r="J3">
        <v>2.67</v>
      </c>
      <c r="K3">
        <v>1</v>
      </c>
      <c r="L3">
        <v>1000</v>
      </c>
      <c r="M3">
        <v>1E-3</v>
      </c>
      <c r="N3" s="5">
        <v>967.65</v>
      </c>
      <c r="O3" s="5">
        <v>0.9</v>
      </c>
      <c r="P3" s="5">
        <f t="shared" si="1"/>
        <v>2042.8166666666666</v>
      </c>
      <c r="Q3" s="5">
        <f t="shared" si="1"/>
        <v>2042.8166666666666</v>
      </c>
      <c r="R3" s="5">
        <f t="shared" si="1"/>
        <v>2042.8166666666666</v>
      </c>
      <c r="S3" s="5">
        <f t="shared" si="1"/>
        <v>2042.8166666666666</v>
      </c>
      <c r="T3" s="6">
        <v>18.226253037237949</v>
      </c>
      <c r="U3" s="6">
        <v>15.811274509803921</v>
      </c>
      <c r="V3" s="6">
        <v>7.4149425287356321</v>
      </c>
      <c r="W3" s="6">
        <v>4.3006666666666664</v>
      </c>
    </row>
    <row r="4" spans="1:23" x14ac:dyDescent="0.25">
      <c r="A4" t="s">
        <v>25</v>
      </c>
      <c r="B4">
        <v>42</v>
      </c>
      <c r="C4">
        <v>45</v>
      </c>
      <c r="D4">
        <v>65</v>
      </c>
      <c r="E4">
        <v>70</v>
      </c>
      <c r="F4">
        <v>75</v>
      </c>
      <c r="G4">
        <v>321.25</v>
      </c>
      <c r="H4">
        <v>175</v>
      </c>
      <c r="I4">
        <f t="shared" si="0"/>
        <v>8.75</v>
      </c>
      <c r="J4">
        <v>5.33</v>
      </c>
      <c r="K4">
        <v>1</v>
      </c>
      <c r="L4">
        <v>1000</v>
      </c>
      <c r="M4">
        <v>1E-3</v>
      </c>
      <c r="N4" s="5">
        <v>561.07000000000005</v>
      </c>
      <c r="O4" s="5">
        <v>0.9</v>
      </c>
      <c r="P4" s="5">
        <f t="shared" si="1"/>
        <v>1184.4811111111112</v>
      </c>
      <c r="Q4" s="5">
        <f t="shared" si="1"/>
        <v>1184.4811111111112</v>
      </c>
      <c r="R4" s="5">
        <f t="shared" si="1"/>
        <v>1184.4811111111112</v>
      </c>
      <c r="S4" s="5">
        <f t="shared" si="1"/>
        <v>1184.4811111111112</v>
      </c>
      <c r="T4" s="6">
        <v>16.289812153412885</v>
      </c>
      <c r="U4" s="6">
        <v>8.9058730158730164</v>
      </c>
      <c r="V4" s="6">
        <v>6.5622222222222231</v>
      </c>
      <c r="W4" s="6">
        <v>5.4209661835748797</v>
      </c>
    </row>
    <row r="5" spans="1:23" x14ac:dyDescent="0.25">
      <c r="A5" t="s">
        <v>26</v>
      </c>
      <c r="B5">
        <v>110</v>
      </c>
      <c r="C5">
        <v>50</v>
      </c>
      <c r="D5">
        <v>85</v>
      </c>
      <c r="E5">
        <v>103</v>
      </c>
      <c r="F5">
        <v>126</v>
      </c>
      <c r="G5">
        <v>265.75</v>
      </c>
      <c r="H5">
        <v>57.5</v>
      </c>
      <c r="I5">
        <f t="shared" si="0"/>
        <v>2.875</v>
      </c>
      <c r="J5">
        <v>12.67</v>
      </c>
      <c r="K5">
        <v>1</v>
      </c>
      <c r="L5">
        <v>1000</v>
      </c>
      <c r="M5">
        <v>1E-3</v>
      </c>
      <c r="N5" s="5">
        <v>534.14</v>
      </c>
      <c r="O5" s="5">
        <v>0.9</v>
      </c>
      <c r="P5" s="5">
        <f t="shared" si="1"/>
        <v>1127.6288888888889</v>
      </c>
      <c r="Q5" s="5">
        <f t="shared" si="1"/>
        <v>1127.6288888888889</v>
      </c>
      <c r="R5" s="5">
        <f t="shared" si="1"/>
        <v>1127.6288888888889</v>
      </c>
      <c r="S5" s="5">
        <f t="shared" si="1"/>
        <v>1127.6288888888889</v>
      </c>
      <c r="T5" s="6">
        <v>12.092275649732862</v>
      </c>
      <c r="U5" s="6">
        <v>2.046513409961686</v>
      </c>
      <c r="V5" s="6">
        <v>1.5826370370370371</v>
      </c>
      <c r="W5" s="6">
        <v>1.2901932367149758</v>
      </c>
    </row>
    <row r="6" spans="1:23" x14ac:dyDescent="0.25">
      <c r="A6" t="s">
        <v>27</v>
      </c>
      <c r="B6">
        <v>3.4</v>
      </c>
      <c r="C6">
        <v>5</v>
      </c>
      <c r="D6">
        <v>10</v>
      </c>
      <c r="E6">
        <v>14</v>
      </c>
      <c r="F6">
        <v>20</v>
      </c>
      <c r="G6">
        <v>180.93</v>
      </c>
      <c r="H6">
        <v>150</v>
      </c>
      <c r="I6">
        <f t="shared" si="0"/>
        <v>7.5</v>
      </c>
      <c r="J6">
        <v>0.93</v>
      </c>
      <c r="K6">
        <v>1</v>
      </c>
      <c r="L6">
        <v>1000</v>
      </c>
      <c r="M6">
        <v>1E-3</v>
      </c>
      <c r="N6" s="5">
        <v>1135.5999999999999</v>
      </c>
      <c r="O6" s="5">
        <v>0.9</v>
      </c>
      <c r="P6" s="5">
        <f t="shared" si="1"/>
        <v>2397.3777777777777</v>
      </c>
      <c r="Q6" s="5">
        <f t="shared" si="1"/>
        <v>2397.3777777777777</v>
      </c>
      <c r="R6" s="5">
        <f t="shared" si="1"/>
        <v>2397.3777777777777</v>
      </c>
      <c r="S6" s="5">
        <f t="shared" si="1"/>
        <v>2397.3777777777777</v>
      </c>
      <c r="T6" s="6">
        <v>252.35555555555553</v>
      </c>
      <c r="U6" s="6">
        <v>16.699017704840887</v>
      </c>
      <c r="V6" s="6">
        <v>9.7059829059829053</v>
      </c>
      <c r="W6" s="6">
        <v>7.0098765432098764</v>
      </c>
    </row>
    <row r="7" spans="1:23" x14ac:dyDescent="0.25">
      <c r="A7" t="s">
        <v>28</v>
      </c>
      <c r="B7">
        <v>293</v>
      </c>
      <c r="C7">
        <v>45</v>
      </c>
      <c r="D7">
        <v>70</v>
      </c>
      <c r="E7">
        <v>79</v>
      </c>
      <c r="F7">
        <v>89</v>
      </c>
      <c r="G7">
        <v>353.38</v>
      </c>
      <c r="H7">
        <v>125</v>
      </c>
      <c r="I7">
        <f t="shared" si="0"/>
        <v>6.25</v>
      </c>
      <c r="J7">
        <v>4.33</v>
      </c>
      <c r="K7">
        <v>1</v>
      </c>
      <c r="L7">
        <v>1000</v>
      </c>
      <c r="M7">
        <v>1E-3</v>
      </c>
      <c r="N7" s="5">
        <v>969.52</v>
      </c>
      <c r="O7" s="5">
        <v>0.9</v>
      </c>
      <c r="P7" s="5">
        <f t="shared" si="1"/>
        <v>2046.7644444444445</v>
      </c>
      <c r="Q7" s="5">
        <f t="shared" si="1"/>
        <v>2046.7644444444445</v>
      </c>
      <c r="R7" s="5">
        <f t="shared" si="1"/>
        <v>2046.7644444444445</v>
      </c>
      <c r="S7" s="5">
        <f t="shared" si="1"/>
        <v>2046.7644444444445</v>
      </c>
      <c r="T7" s="6">
        <v>39.016459414865786</v>
      </c>
      <c r="U7" s="6">
        <v>71.816296296296301</v>
      </c>
      <c r="V7" s="6">
        <v>17.374910394265232</v>
      </c>
      <c r="W7" s="6">
        <v>11.969382716049383</v>
      </c>
    </row>
    <row r="8" spans="1:23" x14ac:dyDescent="0.25">
      <c r="T8" s="4"/>
      <c r="U8" s="4"/>
      <c r="V8" s="4"/>
    </row>
    <row r="9" spans="1:23" x14ac:dyDescent="0.25">
      <c r="B9" s="7"/>
    </row>
    <row r="10" spans="1:23" x14ac:dyDescent="0.25">
      <c r="A10" s="4"/>
      <c r="C10" s="4"/>
    </row>
    <row r="11" spans="1:23" x14ac:dyDescent="0.25">
      <c r="A11" s="4"/>
      <c r="C11" s="4"/>
    </row>
    <row r="12" spans="1:23" x14ac:dyDescent="0.25">
      <c r="A12" s="4"/>
    </row>
    <row r="13" spans="1:23" ht="30.6" customHeight="1" x14ac:dyDescent="0.25">
      <c r="A13" s="4"/>
    </row>
    <row r="14" spans="1:23" x14ac:dyDescent="0.25">
      <c r="A14" s="4"/>
      <c r="C14" s="5"/>
    </row>
    <row r="15" spans="1:23" x14ac:dyDescent="0.25">
      <c r="A15" s="4"/>
      <c r="C15" s="5"/>
    </row>
    <row r="16" spans="1:23" x14ac:dyDescent="0.25">
      <c r="A16" s="4"/>
      <c r="C16" s="5"/>
    </row>
    <row r="17" spans="3:21" x14ac:dyDescent="0.25">
      <c r="C17" s="5"/>
    </row>
    <row r="18" spans="3:21" x14ac:dyDescent="0.25">
      <c r="C18" s="5"/>
    </row>
    <row r="19" spans="3:21" x14ac:dyDescent="0.25">
      <c r="C19" s="5"/>
    </row>
    <row r="24" spans="3:21" x14ac:dyDescent="0.25">
      <c r="R24" s="3"/>
    </row>
    <row r="25" spans="3:21" x14ac:dyDescent="0.25">
      <c r="R25" s="3"/>
    </row>
    <row r="26" spans="3:21" x14ac:dyDescent="0.25">
      <c r="C26" s="5"/>
      <c r="R26" s="3"/>
      <c r="S26" s="3"/>
      <c r="T26" s="3"/>
      <c r="U26" s="3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baseColWidth="10" defaultColWidth="9.140625" defaultRowHeight="15" x14ac:dyDescent="0.25"/>
  <sheetData>
    <row r="1" spans="1:7" x14ac:dyDescent="0.25">
      <c r="A1" t="s">
        <v>49</v>
      </c>
      <c r="B1" t="s">
        <v>23</v>
      </c>
      <c r="C1" t="s">
        <v>24</v>
      </c>
      <c r="D1" t="s">
        <v>25</v>
      </c>
      <c r="E1" t="s">
        <v>45</v>
      </c>
      <c r="F1" t="s">
        <v>27</v>
      </c>
      <c r="G1" t="s">
        <v>28</v>
      </c>
    </row>
    <row r="2" spans="1:7" x14ac:dyDescent="0.25">
      <c r="A2" t="s">
        <v>23</v>
      </c>
      <c r="B2">
        <v>0</v>
      </c>
      <c r="C2">
        <v>16.117999999999999</v>
      </c>
      <c r="D2">
        <v>11.132999999999999</v>
      </c>
      <c r="E2">
        <v>13.78042157888167</v>
      </c>
      <c r="F2">
        <v>10.5</v>
      </c>
      <c r="G2">
        <v>14.59645230960589</v>
      </c>
    </row>
    <row r="3" spans="1:7" x14ac:dyDescent="0.25">
      <c r="A3" t="s">
        <v>24</v>
      </c>
      <c r="B3">
        <v>16.117999999999999</v>
      </c>
      <c r="C3">
        <v>0</v>
      </c>
      <c r="D3">
        <v>18.760000000000002</v>
      </c>
      <c r="E3">
        <v>18.133640203215091</v>
      </c>
      <c r="F3">
        <v>9.8000000000000007</v>
      </c>
      <c r="G3">
        <v>8.4362881656626847</v>
      </c>
    </row>
    <row r="4" spans="1:7" x14ac:dyDescent="0.25">
      <c r="A4" t="s">
        <v>25</v>
      </c>
      <c r="B4">
        <v>24.731000000000002</v>
      </c>
      <c r="C4">
        <v>9.3970000000000002</v>
      </c>
      <c r="D4">
        <v>0</v>
      </c>
      <c r="E4">
        <v>14.737656155323689</v>
      </c>
      <c r="F4">
        <v>14.2</v>
      </c>
      <c r="G4">
        <v>14.449824965889</v>
      </c>
    </row>
    <row r="5" spans="1:7" x14ac:dyDescent="0.25">
      <c r="A5" t="s">
        <v>45</v>
      </c>
      <c r="B5">
        <v>13.232892950285249</v>
      </c>
      <c r="C5">
        <v>16.307173512632438</v>
      </c>
      <c r="D5">
        <v>13.710080806845969</v>
      </c>
      <c r="E5">
        <v>0</v>
      </c>
      <c r="F5">
        <v>13.172616136919309</v>
      </c>
      <c r="G5">
        <v>18.882414716557939</v>
      </c>
    </row>
    <row r="6" spans="1:7" x14ac:dyDescent="0.25">
      <c r="A6" t="s">
        <v>27</v>
      </c>
      <c r="B6">
        <v>4.5</v>
      </c>
      <c r="C6">
        <v>6.2</v>
      </c>
      <c r="D6">
        <v>8.5</v>
      </c>
      <c r="E6">
        <v>7.024572127139364</v>
      </c>
      <c r="F6">
        <v>0</v>
      </c>
      <c r="G6">
        <v>7.5</v>
      </c>
    </row>
    <row r="7" spans="1:7" x14ac:dyDescent="0.25">
      <c r="A7" t="s">
        <v>28</v>
      </c>
      <c r="B7">
        <v>14.122395904436861</v>
      </c>
      <c r="C7">
        <v>8.123641638225255</v>
      </c>
      <c r="D7">
        <v>13.78744368600683</v>
      </c>
      <c r="E7">
        <v>19.752714320654551</v>
      </c>
      <c r="F7">
        <v>12.5</v>
      </c>
      <c r="G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50</v>
      </c>
    </row>
    <row r="2" spans="1:1" x14ac:dyDescent="0.25">
      <c r="A2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1"/>
  <sheetViews>
    <sheetView workbookViewId="0">
      <selection activeCell="F37" sqref="F37"/>
    </sheetView>
  </sheetViews>
  <sheetFormatPr baseColWidth="10" defaultColWidth="9.140625" defaultRowHeight="15" x14ac:dyDescent="0.25"/>
  <cols>
    <col min="3" max="3" width="13.42578125" customWidth="1"/>
    <col min="4" max="4" width="19" customWidth="1"/>
    <col min="5" max="5" width="13.7109375" customWidth="1"/>
    <col min="6" max="6" width="20" customWidth="1"/>
    <col min="7" max="7" width="20.5703125" customWidth="1"/>
    <col min="8" max="8" width="17.42578125" customWidth="1"/>
    <col min="9" max="9" width="19.140625" customWidth="1"/>
    <col min="10" max="10" width="19.7109375" customWidth="1"/>
    <col min="11" max="11" width="31.7109375" customWidth="1"/>
  </cols>
  <sheetData>
    <row r="1" spans="1:11" x14ac:dyDescent="0.25">
      <c r="A1" s="8" t="s">
        <v>0</v>
      </c>
      <c r="B1" s="8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8" t="s">
        <v>57</v>
      </c>
      <c r="H1" s="8" t="s">
        <v>58</v>
      </c>
      <c r="I1" s="8" t="s">
        <v>59</v>
      </c>
      <c r="J1" s="8" t="s">
        <v>60</v>
      </c>
      <c r="K1" s="8" t="s">
        <v>61</v>
      </c>
    </row>
    <row r="2" spans="1:11" x14ac:dyDescent="0.25">
      <c r="A2" t="s">
        <v>23</v>
      </c>
      <c r="B2" t="s">
        <v>62</v>
      </c>
      <c r="C2">
        <v>931</v>
      </c>
      <c r="D2">
        <v>13.7</v>
      </c>
      <c r="E2">
        <v>1100.775555555555</v>
      </c>
      <c r="F2">
        <v>163</v>
      </c>
      <c r="G2">
        <v>163</v>
      </c>
      <c r="H2">
        <v>163</v>
      </c>
      <c r="I2">
        <v>163</v>
      </c>
      <c r="J2">
        <v>163</v>
      </c>
      <c r="K2">
        <v>163</v>
      </c>
    </row>
    <row r="3" spans="1:11" x14ac:dyDescent="0.25">
      <c r="A3" t="s">
        <v>24</v>
      </c>
      <c r="B3" t="s">
        <v>62</v>
      </c>
      <c r="C3">
        <v>22</v>
      </c>
      <c r="D3">
        <v>1.8</v>
      </c>
      <c r="E3">
        <v>2042.8166666666671</v>
      </c>
      <c r="F3">
        <v>299.25</v>
      </c>
      <c r="G3">
        <v>299.25</v>
      </c>
      <c r="H3">
        <v>299.25</v>
      </c>
      <c r="I3">
        <v>299.25</v>
      </c>
      <c r="J3">
        <v>299.25</v>
      </c>
      <c r="K3">
        <v>299.25</v>
      </c>
    </row>
    <row r="4" spans="1:11" x14ac:dyDescent="0.25">
      <c r="A4" t="s">
        <v>25</v>
      </c>
      <c r="B4" t="s">
        <v>62</v>
      </c>
      <c r="C4">
        <v>42</v>
      </c>
      <c r="D4">
        <v>7.25</v>
      </c>
      <c r="E4">
        <v>1184.481111111111</v>
      </c>
      <c r="F4">
        <v>321.25</v>
      </c>
      <c r="G4">
        <v>321.25</v>
      </c>
      <c r="H4">
        <v>321.25</v>
      </c>
      <c r="I4">
        <v>321.25</v>
      </c>
      <c r="J4">
        <v>321.25</v>
      </c>
      <c r="K4">
        <v>321.25</v>
      </c>
    </row>
    <row r="5" spans="1:11" x14ac:dyDescent="0.25">
      <c r="A5" t="s">
        <v>45</v>
      </c>
      <c r="B5" t="s">
        <v>62</v>
      </c>
      <c r="C5">
        <v>110</v>
      </c>
      <c r="D5">
        <v>1.6239999999999994</v>
      </c>
      <c r="E5">
        <v>1127.6288888888889</v>
      </c>
      <c r="F5">
        <v>265.75</v>
      </c>
      <c r="G5">
        <v>265.75</v>
      </c>
      <c r="H5">
        <v>265.75</v>
      </c>
      <c r="I5">
        <v>265.75</v>
      </c>
      <c r="J5">
        <v>265.75</v>
      </c>
      <c r="K5">
        <v>265.75</v>
      </c>
    </row>
    <row r="6" spans="1:11" x14ac:dyDescent="0.25">
      <c r="A6" t="s">
        <v>27</v>
      </c>
      <c r="B6" t="s">
        <v>62</v>
      </c>
      <c r="C6">
        <v>3.4</v>
      </c>
      <c r="D6">
        <v>0.1</v>
      </c>
      <c r="E6">
        <v>2397.3777777777782</v>
      </c>
      <c r="F6">
        <v>180.93</v>
      </c>
      <c r="G6">
        <v>180.93</v>
      </c>
      <c r="H6">
        <v>180.93</v>
      </c>
      <c r="I6">
        <v>180.93</v>
      </c>
      <c r="J6">
        <v>180.93</v>
      </c>
      <c r="K6">
        <v>180.93</v>
      </c>
    </row>
    <row r="7" spans="1:11" x14ac:dyDescent="0.25">
      <c r="A7" t="s">
        <v>28</v>
      </c>
      <c r="B7" t="s">
        <v>62</v>
      </c>
      <c r="C7">
        <v>293</v>
      </c>
      <c r="D7">
        <v>4.3399999999999981</v>
      </c>
      <c r="E7">
        <v>2046.764444444445</v>
      </c>
      <c r="F7">
        <v>353.38</v>
      </c>
      <c r="G7">
        <v>353.38</v>
      </c>
      <c r="H7">
        <v>353.38</v>
      </c>
      <c r="I7">
        <v>353.38</v>
      </c>
      <c r="J7">
        <v>353.38</v>
      </c>
      <c r="K7">
        <v>353.38</v>
      </c>
    </row>
    <row r="8" spans="1:11" x14ac:dyDescent="0.25">
      <c r="A8" t="s">
        <v>23</v>
      </c>
      <c r="B8" t="s">
        <v>63</v>
      </c>
      <c r="C8">
        <v>1068</v>
      </c>
      <c r="D8">
        <v>13.7</v>
      </c>
      <c r="E8">
        <v>1100.775555555555</v>
      </c>
      <c r="F8">
        <v>163</v>
      </c>
      <c r="G8">
        <v>163</v>
      </c>
      <c r="H8">
        <v>163</v>
      </c>
      <c r="I8">
        <v>163</v>
      </c>
      <c r="J8">
        <v>163</v>
      </c>
      <c r="K8">
        <v>163</v>
      </c>
    </row>
    <row r="9" spans="1:11" x14ac:dyDescent="0.25">
      <c r="A9" t="s">
        <v>24</v>
      </c>
      <c r="B9" t="s">
        <v>63</v>
      </c>
      <c r="C9">
        <v>40</v>
      </c>
      <c r="D9">
        <v>1.8</v>
      </c>
      <c r="E9">
        <v>2042.8166666666671</v>
      </c>
      <c r="F9">
        <v>299.25</v>
      </c>
      <c r="G9">
        <v>299.25</v>
      </c>
      <c r="H9">
        <v>299.25</v>
      </c>
      <c r="I9">
        <v>299.25</v>
      </c>
      <c r="J9">
        <v>299.25</v>
      </c>
      <c r="K9">
        <v>299.25</v>
      </c>
    </row>
    <row r="10" spans="1:11" x14ac:dyDescent="0.25">
      <c r="A10" t="s">
        <v>25</v>
      </c>
      <c r="B10" t="s">
        <v>63</v>
      </c>
      <c r="C10">
        <v>114.5</v>
      </c>
      <c r="D10">
        <v>7.25</v>
      </c>
      <c r="E10">
        <v>1184.481111111111</v>
      </c>
      <c r="F10">
        <v>321.25</v>
      </c>
      <c r="G10">
        <v>321.25</v>
      </c>
      <c r="H10">
        <v>321.25</v>
      </c>
      <c r="I10">
        <v>321.25</v>
      </c>
      <c r="J10">
        <v>321.25</v>
      </c>
      <c r="K10">
        <v>321.25</v>
      </c>
    </row>
    <row r="11" spans="1:11" x14ac:dyDescent="0.25">
      <c r="A11" t="s">
        <v>45</v>
      </c>
      <c r="B11" t="s">
        <v>63</v>
      </c>
      <c r="C11">
        <v>126.24</v>
      </c>
      <c r="D11">
        <v>1.6239999999999994</v>
      </c>
      <c r="E11">
        <v>1127.6288888888889</v>
      </c>
      <c r="F11">
        <v>265.75</v>
      </c>
      <c r="G11">
        <v>265.75</v>
      </c>
      <c r="H11">
        <v>265.75</v>
      </c>
      <c r="I11">
        <v>265.75</v>
      </c>
      <c r="J11">
        <v>265.75</v>
      </c>
      <c r="K11">
        <v>265.75</v>
      </c>
    </row>
    <row r="12" spans="1:11" x14ac:dyDescent="0.25">
      <c r="A12" t="s">
        <v>27</v>
      </c>
      <c r="B12" t="s">
        <v>63</v>
      </c>
      <c r="C12">
        <v>4.4000000000000004</v>
      </c>
      <c r="D12">
        <v>0.1</v>
      </c>
      <c r="E12">
        <v>2397.3777777777782</v>
      </c>
      <c r="F12">
        <v>180.93</v>
      </c>
      <c r="G12">
        <v>180.93</v>
      </c>
      <c r="H12">
        <v>180.93</v>
      </c>
      <c r="I12">
        <v>180.93</v>
      </c>
      <c r="J12">
        <v>180.93</v>
      </c>
      <c r="K12">
        <v>180.93</v>
      </c>
    </row>
    <row r="13" spans="1:11" x14ac:dyDescent="0.25">
      <c r="A13" t="s">
        <v>28</v>
      </c>
      <c r="B13" t="s">
        <v>63</v>
      </c>
      <c r="C13">
        <v>336.4</v>
      </c>
      <c r="D13">
        <v>4.3399999999999981</v>
      </c>
      <c r="E13">
        <v>2046.764444444445</v>
      </c>
      <c r="F13">
        <v>353.38</v>
      </c>
      <c r="G13">
        <v>353.38</v>
      </c>
      <c r="H13">
        <v>353.38</v>
      </c>
      <c r="I13">
        <v>353.38</v>
      </c>
      <c r="J13">
        <v>353.38</v>
      </c>
      <c r="K13">
        <v>353.38</v>
      </c>
    </row>
    <row r="14" spans="1:11" x14ac:dyDescent="0.25">
      <c r="A14" t="s">
        <v>23</v>
      </c>
      <c r="B14" t="s">
        <v>64</v>
      </c>
      <c r="C14">
        <v>1205</v>
      </c>
      <c r="D14">
        <v>13.7</v>
      </c>
      <c r="E14">
        <v>1100.775555555555</v>
      </c>
      <c r="F14">
        <v>163</v>
      </c>
      <c r="G14">
        <v>163</v>
      </c>
      <c r="H14">
        <v>163</v>
      </c>
      <c r="I14">
        <v>163</v>
      </c>
      <c r="J14">
        <v>163</v>
      </c>
      <c r="K14">
        <v>163</v>
      </c>
    </row>
    <row r="15" spans="1:11" x14ac:dyDescent="0.25">
      <c r="A15" t="s">
        <v>24</v>
      </c>
      <c r="B15" t="s">
        <v>64</v>
      </c>
      <c r="C15">
        <v>58</v>
      </c>
      <c r="D15">
        <v>1.8</v>
      </c>
      <c r="E15">
        <v>2042.8166666666671</v>
      </c>
      <c r="F15">
        <v>299.25</v>
      </c>
      <c r="G15">
        <v>299.25</v>
      </c>
      <c r="H15">
        <v>299.25</v>
      </c>
      <c r="I15">
        <v>299.25</v>
      </c>
      <c r="J15">
        <v>299.25</v>
      </c>
      <c r="K15">
        <v>299.25</v>
      </c>
    </row>
    <row r="16" spans="1:11" x14ac:dyDescent="0.25">
      <c r="A16" t="s">
        <v>25</v>
      </c>
      <c r="B16" t="s">
        <v>64</v>
      </c>
      <c r="C16">
        <v>187</v>
      </c>
      <c r="D16">
        <v>7.25</v>
      </c>
      <c r="E16">
        <v>1184.481111111111</v>
      </c>
      <c r="F16">
        <v>321.25</v>
      </c>
      <c r="G16">
        <v>321.25</v>
      </c>
      <c r="H16">
        <v>321.25</v>
      </c>
      <c r="I16">
        <v>321.25</v>
      </c>
      <c r="J16">
        <v>321.25</v>
      </c>
      <c r="K16">
        <v>321.25</v>
      </c>
    </row>
    <row r="17" spans="1:11" x14ac:dyDescent="0.25">
      <c r="A17" t="s">
        <v>45</v>
      </c>
      <c r="B17" t="s">
        <v>64</v>
      </c>
      <c r="C17">
        <v>142.47999999999999</v>
      </c>
      <c r="D17">
        <v>1.6239999999999994</v>
      </c>
      <c r="E17">
        <v>1127.6288888888889</v>
      </c>
      <c r="F17">
        <v>265.75</v>
      </c>
      <c r="G17">
        <v>265.75</v>
      </c>
      <c r="H17">
        <v>265.75</v>
      </c>
      <c r="I17">
        <v>265.75</v>
      </c>
      <c r="J17">
        <v>265.75</v>
      </c>
      <c r="K17">
        <v>265.75</v>
      </c>
    </row>
    <row r="18" spans="1:11" x14ac:dyDescent="0.25">
      <c r="A18" t="s">
        <v>27</v>
      </c>
      <c r="B18" t="s">
        <v>64</v>
      </c>
      <c r="C18">
        <v>5.4</v>
      </c>
      <c r="D18">
        <v>0.1</v>
      </c>
      <c r="E18">
        <v>2397.3777777777782</v>
      </c>
      <c r="F18">
        <v>180.93</v>
      </c>
      <c r="G18">
        <v>180.93</v>
      </c>
      <c r="H18">
        <v>180.93</v>
      </c>
      <c r="I18">
        <v>180.93</v>
      </c>
      <c r="J18">
        <v>180.93</v>
      </c>
      <c r="K18">
        <v>180.93</v>
      </c>
    </row>
    <row r="19" spans="1:11" x14ac:dyDescent="0.25">
      <c r="A19" t="s">
        <v>28</v>
      </c>
      <c r="B19" t="s">
        <v>64</v>
      </c>
      <c r="C19">
        <v>379.8</v>
      </c>
      <c r="D19">
        <v>4.3399999999999981</v>
      </c>
      <c r="E19">
        <v>2046.764444444445</v>
      </c>
      <c r="F19">
        <v>353.38</v>
      </c>
      <c r="G19">
        <v>353.38</v>
      </c>
      <c r="H19">
        <v>353.38</v>
      </c>
      <c r="I19">
        <v>353.38</v>
      </c>
      <c r="J19">
        <v>353.38</v>
      </c>
      <c r="K19">
        <v>353.38</v>
      </c>
    </row>
    <row r="20" spans="1:11" x14ac:dyDescent="0.25">
      <c r="A20" t="s">
        <v>23</v>
      </c>
      <c r="B20" t="s">
        <v>65</v>
      </c>
      <c r="C20">
        <v>1342</v>
      </c>
      <c r="D20">
        <v>13.7</v>
      </c>
      <c r="E20">
        <v>1100.775555555555</v>
      </c>
      <c r="F20">
        <v>163</v>
      </c>
      <c r="G20">
        <v>163</v>
      </c>
      <c r="H20">
        <v>163</v>
      </c>
      <c r="I20">
        <v>163</v>
      </c>
      <c r="J20">
        <v>163</v>
      </c>
      <c r="K20">
        <v>163</v>
      </c>
    </row>
    <row r="21" spans="1:11" x14ac:dyDescent="0.25">
      <c r="A21" t="s">
        <v>24</v>
      </c>
      <c r="B21" t="s">
        <v>65</v>
      </c>
      <c r="C21">
        <v>76</v>
      </c>
      <c r="D21">
        <v>1.8</v>
      </c>
      <c r="E21">
        <v>2042.8166666666671</v>
      </c>
      <c r="F21">
        <v>299.25</v>
      </c>
      <c r="G21">
        <v>299.25</v>
      </c>
      <c r="H21">
        <v>299.25</v>
      </c>
      <c r="I21">
        <v>299.25</v>
      </c>
      <c r="J21">
        <v>299.25</v>
      </c>
      <c r="K21">
        <v>299.25</v>
      </c>
    </row>
    <row r="22" spans="1:11" x14ac:dyDescent="0.25">
      <c r="A22" t="s">
        <v>25</v>
      </c>
      <c r="B22" t="s">
        <v>65</v>
      </c>
      <c r="C22">
        <v>259.5</v>
      </c>
      <c r="D22">
        <v>7.25</v>
      </c>
      <c r="E22">
        <v>1184.481111111111</v>
      </c>
      <c r="F22">
        <v>321.25</v>
      </c>
      <c r="G22">
        <v>321.25</v>
      </c>
      <c r="H22">
        <v>321.25</v>
      </c>
      <c r="I22">
        <v>321.25</v>
      </c>
      <c r="J22">
        <v>321.25</v>
      </c>
      <c r="K22">
        <v>321.25</v>
      </c>
    </row>
    <row r="23" spans="1:11" x14ac:dyDescent="0.25">
      <c r="A23" t="s">
        <v>45</v>
      </c>
      <c r="B23" t="s">
        <v>65</v>
      </c>
      <c r="C23">
        <v>158.72</v>
      </c>
      <c r="D23">
        <v>1.6239999999999994</v>
      </c>
      <c r="E23">
        <v>1127.6288888888889</v>
      </c>
      <c r="F23">
        <v>265.75</v>
      </c>
      <c r="G23">
        <v>265.75</v>
      </c>
      <c r="H23">
        <v>265.75</v>
      </c>
      <c r="I23">
        <v>265.75</v>
      </c>
      <c r="J23">
        <v>265.75</v>
      </c>
      <c r="K23">
        <v>265.75</v>
      </c>
    </row>
    <row r="24" spans="1:11" x14ac:dyDescent="0.25">
      <c r="A24" t="s">
        <v>27</v>
      </c>
      <c r="B24" t="s">
        <v>65</v>
      </c>
      <c r="C24">
        <v>6.4</v>
      </c>
      <c r="D24">
        <v>0.1</v>
      </c>
      <c r="E24">
        <v>2397.3777777777782</v>
      </c>
      <c r="F24">
        <v>180.93</v>
      </c>
      <c r="G24">
        <v>180.93</v>
      </c>
      <c r="H24">
        <v>180.93</v>
      </c>
      <c r="I24">
        <v>180.93</v>
      </c>
      <c r="J24">
        <v>180.93</v>
      </c>
      <c r="K24">
        <v>180.93</v>
      </c>
    </row>
    <row r="25" spans="1:11" x14ac:dyDescent="0.25">
      <c r="A25" t="s">
        <v>28</v>
      </c>
      <c r="B25" t="s">
        <v>65</v>
      </c>
      <c r="C25">
        <v>423.19999999999987</v>
      </c>
      <c r="D25">
        <v>4.3399999999999981</v>
      </c>
      <c r="E25">
        <v>2046.764444444445</v>
      </c>
      <c r="F25">
        <v>353.38</v>
      </c>
      <c r="G25">
        <v>353.38</v>
      </c>
      <c r="H25">
        <v>353.38</v>
      </c>
      <c r="I25">
        <v>353.38</v>
      </c>
      <c r="J25">
        <v>353.38</v>
      </c>
      <c r="K25">
        <v>353.38</v>
      </c>
    </row>
    <row r="26" spans="1:11" x14ac:dyDescent="0.25">
      <c r="A26" t="s">
        <v>23</v>
      </c>
      <c r="B26" t="s">
        <v>66</v>
      </c>
      <c r="C26">
        <v>1479</v>
      </c>
      <c r="D26">
        <v>0</v>
      </c>
      <c r="E26">
        <v>1100.775555555555</v>
      </c>
      <c r="F26">
        <v>163</v>
      </c>
      <c r="G26">
        <v>163</v>
      </c>
      <c r="H26">
        <v>163</v>
      </c>
      <c r="I26">
        <v>163</v>
      </c>
      <c r="J26">
        <v>163</v>
      </c>
      <c r="K26">
        <v>163</v>
      </c>
    </row>
    <row r="27" spans="1:11" x14ac:dyDescent="0.25">
      <c r="A27" t="s">
        <v>24</v>
      </c>
      <c r="B27" t="s">
        <v>66</v>
      </c>
      <c r="C27">
        <v>94</v>
      </c>
      <c r="D27">
        <v>0</v>
      </c>
      <c r="E27">
        <v>2042.8166666666671</v>
      </c>
      <c r="F27">
        <v>299.25</v>
      </c>
      <c r="G27">
        <v>299.25</v>
      </c>
      <c r="H27">
        <v>299.25</v>
      </c>
      <c r="I27">
        <v>299.25</v>
      </c>
      <c r="J27">
        <v>299.25</v>
      </c>
      <c r="K27">
        <v>299.25</v>
      </c>
    </row>
    <row r="28" spans="1:11" x14ac:dyDescent="0.25">
      <c r="A28" t="s">
        <v>25</v>
      </c>
      <c r="B28" t="s">
        <v>66</v>
      </c>
      <c r="C28">
        <v>332</v>
      </c>
      <c r="D28">
        <v>0</v>
      </c>
      <c r="E28">
        <v>1184.481111111111</v>
      </c>
      <c r="F28">
        <v>321.25</v>
      </c>
      <c r="G28">
        <v>321.25</v>
      </c>
      <c r="H28">
        <v>321.25</v>
      </c>
      <c r="I28">
        <v>321.25</v>
      </c>
      <c r="J28">
        <v>321.25</v>
      </c>
      <c r="K28">
        <v>321.25</v>
      </c>
    </row>
    <row r="29" spans="1:11" x14ac:dyDescent="0.25">
      <c r="A29" t="s">
        <v>45</v>
      </c>
      <c r="B29" t="s">
        <v>66</v>
      </c>
      <c r="C29">
        <v>174.96</v>
      </c>
      <c r="D29">
        <v>0</v>
      </c>
      <c r="E29">
        <v>1127.6288888888889</v>
      </c>
      <c r="F29">
        <v>265.75</v>
      </c>
      <c r="G29">
        <v>265.75</v>
      </c>
      <c r="H29">
        <v>265.75</v>
      </c>
      <c r="I29">
        <v>265.75</v>
      </c>
      <c r="J29">
        <v>265.75</v>
      </c>
      <c r="K29">
        <v>265.75</v>
      </c>
    </row>
    <row r="30" spans="1:11" x14ac:dyDescent="0.25">
      <c r="A30" t="s">
        <v>27</v>
      </c>
      <c r="B30" t="s">
        <v>66</v>
      </c>
      <c r="C30">
        <v>7.4</v>
      </c>
      <c r="D30">
        <v>0</v>
      </c>
      <c r="E30">
        <v>2397.3777777777782</v>
      </c>
      <c r="F30">
        <v>180.93</v>
      </c>
      <c r="G30">
        <v>180.93</v>
      </c>
      <c r="H30">
        <v>180.93</v>
      </c>
      <c r="I30">
        <v>180.93</v>
      </c>
      <c r="J30">
        <v>180.93</v>
      </c>
      <c r="K30">
        <v>180.93</v>
      </c>
    </row>
    <row r="31" spans="1:11" x14ac:dyDescent="0.25">
      <c r="A31" t="s">
        <v>28</v>
      </c>
      <c r="B31" t="s">
        <v>66</v>
      </c>
      <c r="C31">
        <v>466.59999999999991</v>
      </c>
      <c r="D31">
        <v>0</v>
      </c>
      <c r="E31">
        <v>2046.764444444445</v>
      </c>
      <c r="F31">
        <v>353.38</v>
      </c>
      <c r="G31">
        <v>353.38</v>
      </c>
      <c r="H31">
        <v>353.38</v>
      </c>
      <c r="I31">
        <v>353.38</v>
      </c>
      <c r="J31">
        <v>353.38</v>
      </c>
      <c r="K31">
        <v>353.38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2B3F-7149-466F-A577-400076578845}">
  <dimension ref="B3:C10"/>
  <sheetViews>
    <sheetView workbookViewId="0">
      <selection activeCell="D30" sqref="D30"/>
    </sheetView>
  </sheetViews>
  <sheetFormatPr baseColWidth="10" defaultRowHeight="15" x14ac:dyDescent="0.25"/>
  <sheetData>
    <row r="3" spans="2:3" x14ac:dyDescent="0.25">
      <c r="B3" s="9" t="s">
        <v>67</v>
      </c>
    </row>
    <row r="4" spans="2:3" x14ac:dyDescent="0.25">
      <c r="B4" t="s">
        <v>69</v>
      </c>
      <c r="C4" t="s">
        <v>74</v>
      </c>
    </row>
    <row r="5" spans="2:3" x14ac:dyDescent="0.25">
      <c r="B5" t="s">
        <v>68</v>
      </c>
      <c r="C5">
        <v>420</v>
      </c>
    </row>
    <row r="6" spans="2:3" x14ac:dyDescent="0.25">
      <c r="B6" t="s">
        <v>70</v>
      </c>
      <c r="C6">
        <v>80</v>
      </c>
    </row>
    <row r="7" spans="2:3" x14ac:dyDescent="0.25">
      <c r="B7" t="s">
        <v>71</v>
      </c>
      <c r="C7">
        <v>100</v>
      </c>
    </row>
    <row r="8" spans="2:3" x14ac:dyDescent="0.25">
      <c r="B8" t="s">
        <v>72</v>
      </c>
      <c r="C8">
        <v>50</v>
      </c>
    </row>
    <row r="9" spans="2:3" x14ac:dyDescent="0.25">
      <c r="B9" t="s">
        <v>47</v>
      </c>
      <c r="C9" s="5">
        <v>7.8</v>
      </c>
    </row>
    <row r="10" spans="2:3" x14ac:dyDescent="0.25">
      <c r="B10" t="s">
        <v>73</v>
      </c>
      <c r="C10">
        <v>128</v>
      </c>
    </row>
  </sheetData>
  <hyperlinks>
    <hyperlink ref="B3" r:id="rId1" display="https://iea.blob.core.windows.net/assets/76ad6eac-2aa6-4c55-9a55-b8dc0dba9f9e/Renewables2025.pdf" xr:uid="{A2FF3907-04B2-401A-98BB-94A01FAAFFB7}"/>
  </hyperlinks>
  <pageMargins left="0.7" right="0.7" top="0.78740157499999996" bottom="0.78740157499999996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6399-6888-4EF0-98EA-DC50B5E85FC9}">
  <dimension ref="A1:F7"/>
  <sheetViews>
    <sheetView workbookViewId="0">
      <selection activeCell="E17" sqref="E17"/>
    </sheetView>
  </sheetViews>
  <sheetFormatPr baseColWidth="10" defaultRowHeight="15" x14ac:dyDescent="0.25"/>
  <cols>
    <col min="3" max="3" width="15.28515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23</v>
      </c>
      <c r="B2">
        <v>931</v>
      </c>
      <c r="C2">
        <v>278</v>
      </c>
      <c r="D2">
        <v>410</v>
      </c>
      <c r="E2">
        <v>540</v>
      </c>
      <c r="F2">
        <v>600</v>
      </c>
    </row>
    <row r="3" spans="1:6" x14ac:dyDescent="0.25">
      <c r="A3" t="s">
        <v>24</v>
      </c>
      <c r="B3">
        <v>22</v>
      </c>
      <c r="C3">
        <v>58.99</v>
      </c>
      <c r="D3">
        <v>68</v>
      </c>
      <c r="E3">
        <v>145</v>
      </c>
      <c r="F3">
        <v>250</v>
      </c>
    </row>
    <row r="4" spans="1:6" x14ac:dyDescent="0.25">
      <c r="A4" t="s">
        <v>25</v>
      </c>
      <c r="B4">
        <v>42</v>
      </c>
      <c r="C4">
        <v>38.270000000000003</v>
      </c>
      <c r="D4">
        <v>70</v>
      </c>
      <c r="E4">
        <v>95</v>
      </c>
      <c r="F4">
        <v>115</v>
      </c>
    </row>
    <row r="5" spans="1:6" x14ac:dyDescent="0.25">
      <c r="A5" t="s">
        <v>26</v>
      </c>
      <c r="B5">
        <v>110</v>
      </c>
      <c r="C5">
        <v>49.08</v>
      </c>
      <c r="D5">
        <v>290</v>
      </c>
      <c r="E5">
        <v>375</v>
      </c>
      <c r="F5">
        <v>460</v>
      </c>
    </row>
    <row r="6" spans="1:6" x14ac:dyDescent="0.25">
      <c r="A6" t="s">
        <v>27</v>
      </c>
      <c r="B6">
        <v>3.4</v>
      </c>
      <c r="C6">
        <v>18.2</v>
      </c>
      <c r="D6">
        <v>33</v>
      </c>
      <c r="E6">
        <v>62</v>
      </c>
      <c r="F6">
        <v>90</v>
      </c>
    </row>
    <row r="7" spans="1:6" x14ac:dyDescent="0.25">
      <c r="A7" t="s">
        <v>28</v>
      </c>
      <c r="B7">
        <v>293</v>
      </c>
      <c r="C7">
        <v>27.61</v>
      </c>
      <c r="D7">
        <v>90.56</v>
      </c>
      <c r="E7">
        <v>130</v>
      </c>
      <c r="F7">
        <v>180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settings</vt:lpstr>
      <vt:lpstr>regions</vt:lpstr>
      <vt:lpstr>params_region</vt:lpstr>
      <vt:lpstr>params_region_new</vt:lpstr>
      <vt:lpstr>c_ship</vt:lpstr>
      <vt:lpstr>README</vt:lpstr>
      <vt:lpstr>initial_state</vt:lpstr>
      <vt:lpstr>research</vt:lpstr>
      <vt:lpstr>old_demand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2026-03-28T17:07:25Z</dcterms:created>
  <dcterms:modified xsi:type="dcterms:W3CDTF">2026-04-01T11:58:56Z</dcterms:modified>
</cp:coreProperties>
</file>