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C3E25D12-2297-4B62-90BD-0A9C111A788D}" xr6:coauthVersionLast="47" xr6:coauthVersionMax="47" xr10:uidLastSave="{00000000-0000-0000-0000-000000000000}"/>
  <bookViews>
    <workbookView xWindow="4305" yWindow="3975" windowWidth="31530" windowHeight="16905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definedNames>
    <definedName name="_xlnm._FilterDatabase" localSheetId="2" hidden="1">params_region!$A$1:$X$7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" i="3" l="1"/>
  <c r="Y6" i="3"/>
  <c r="Y5" i="3"/>
  <c r="Y4" i="3"/>
  <c r="Y3" i="3"/>
  <c r="Y2" i="3"/>
  <c r="T7" i="3"/>
  <c r="T6" i="3"/>
  <c r="T5" i="3"/>
  <c r="T4" i="3"/>
  <c r="T3" i="3"/>
  <c r="T2" i="3"/>
  <c r="I3" i="3"/>
  <c r="I4" i="3"/>
  <c r="I5" i="3"/>
  <c r="I6" i="3"/>
  <c r="I7" i="3"/>
  <c r="I2" i="3"/>
  <c r="X7" i="3"/>
  <c r="W7" i="3"/>
  <c r="V7" i="3"/>
  <c r="U7" i="3"/>
  <c r="S7" i="3"/>
  <c r="R7" i="3"/>
  <c r="Q7" i="3"/>
  <c r="P7" i="3"/>
  <c r="X6" i="3"/>
  <c r="W6" i="3"/>
  <c r="V6" i="3"/>
  <c r="U6" i="3"/>
  <c r="S6" i="3"/>
  <c r="R6" i="3"/>
  <c r="Q6" i="3"/>
  <c r="P6" i="3"/>
  <c r="X5" i="3"/>
  <c r="W5" i="3"/>
  <c r="V5" i="3"/>
  <c r="U5" i="3"/>
  <c r="S5" i="3"/>
  <c r="R5" i="3"/>
  <c r="Q5" i="3"/>
  <c r="P5" i="3"/>
  <c r="X4" i="3"/>
  <c r="W4" i="3"/>
  <c r="V4" i="3"/>
  <c r="U4" i="3"/>
  <c r="S4" i="3"/>
  <c r="R4" i="3"/>
  <c r="Q4" i="3"/>
  <c r="P4" i="3"/>
  <c r="X3" i="3"/>
  <c r="W3" i="3"/>
  <c r="V3" i="3"/>
  <c r="U3" i="3"/>
  <c r="S3" i="3"/>
  <c r="R3" i="3"/>
  <c r="Q3" i="3"/>
  <c r="P3" i="3"/>
  <c r="X2" i="3"/>
  <c r="W2" i="3"/>
  <c r="V2" i="3"/>
  <c r="U2" i="3"/>
  <c r="S2" i="3"/>
  <c r="R2" i="3"/>
  <c r="Q2" i="3"/>
  <c r="P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3BD3B233-C8F3-4C4E-A8E9-4D00AB9FAA5A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U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V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W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X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  <comment ref="Y1" authorId="0" shapeId="0" xr:uid="{2C5B7B49-3F16-4D84-B7A7-EAEBC7F68F01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<sst xmlns="http://schemas.openxmlformats.org/spreadsheetml/2006/main" count="72" uniqueCount="54">
  <si>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</si>
  <si>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</si>
  <si>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</si>
  <si>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</si>
  <si>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</si>
  <si>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</si>
  <si>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</si>
  <si>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</si>
  <si>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</si>
  <si>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</si>
  <si>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</si>
  <si>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</si>
  <si>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</si>
  <si>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</si>
  <si>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</si>
  <si>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</si>
  <si>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</si>
  <si>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</si>
  <si>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</si>
  <si>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</si>
  <si>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</si>
  <si>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</si>
  <si>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</si>
  <si>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</si>
  <si>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</si>
  <si>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</si>
  <si>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</si>
  <si>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</si>
  <si>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</si>
  <si>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</si>
  <si>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</si>
  <si>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</si>
  <si>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</si>
  <si>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</si>
  <si>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</si>
  <si>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</si>
  <si>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</si>
  <si>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</si>
  <si>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</si>
  <si>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</si>
  <si>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</si>
  <si>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</si>
  <si>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</si>
  <si>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</si>
  <si>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</si>
  <si>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</si>
  <si>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</si>
  <si>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</si>
  <si>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</si>
  <si>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c_hold_musd_per_gw_per_yr</t>
  </si>
  <si>
    <t>roa</t>
  </si>
  <si>
    <t>g_exp_ub_per_yr_gw</t>
  </si>
  <si>
    <t>b_dem_2045_usd_per_kw_per_gw</t>
  </si>
  <si>
    <t>a_dem_2045_usd_per_kw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</si>
</sst>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2F950EA5-5C9E-07B9-A431-6203687B16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AF077932-AB85-5284-F139-1A17DAC5BD2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37A28031-2919-2EBA-1038-0AB0ED981E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4AFB1342-4107-852A-346B-EF7E40FB28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B3361DFC-9C6A-3512-24A2-CB9D19AE59B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9610934A-61E7-AFCD-A513-99981C840CF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602025C5-2E30-3980-7139-BCA302E673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1041400</xdr:colOff>
      <xdr:row>33</xdr:row>
      <xdr:rowOff>69850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6E08AE79-14AE-B6A1-136A-B86C4FF1DC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1371600</xdr:colOff>
      <xdr:row>32</xdr:row>
      <xdr:rowOff>66675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4F95148C-FA07-E8BD-33E4-E4A85662436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627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3" name="AutoShape 11">
          <a:extLst>
            <a:ext uri="{FF2B5EF4-FFF2-40B4-BE49-F238E27FC236}">
              <a16:creationId xmlns:a16="http://schemas.microsoft.com/office/drawing/2014/main" id="{5EAE2465-B2D2-DB0F-102C-8721179D3A1F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4" name="AutoShape 11">
          <a:extLst>
            <a:ext uri="{FF2B5EF4-FFF2-40B4-BE49-F238E27FC236}">
              <a16:creationId xmlns:a16="http://schemas.microsoft.com/office/drawing/2014/main" id="{A5F72BF3-E157-8BBA-5332-8560B201DD6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0</xdr:colOff>
      <xdr:row>32</xdr:row>
      <xdr:rowOff>66675</xdr:rowOff>
    </xdr:to>
    <xdr:sp macro="" textlink="">
      <xdr:nvSpPr>
        <xdr:cNvPr id="15" name="AutoShape 11">
          <a:extLst>
            <a:ext uri="{FF2B5EF4-FFF2-40B4-BE49-F238E27FC236}">
              <a16:creationId xmlns:a16="http://schemas.microsoft.com/office/drawing/2014/main" id="{EE5849E7-9615-192A-5AE6-B395D7A5F35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7722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</row>
    <row r="7" spans="1:2" x14ac:dyDescent="0.25">
      <c r="A7" t="s">
        <v>8</v>
      </c>
    </row>
    <row r="8" spans="1:2" x14ac:dyDescent="0.25">
      <c r="A8" t="s">
        <v>9</v>
      </c>
    </row>
    <row r="9" spans="1:2" x14ac:dyDescent="0.25">
      <c r="A9" t="s">
        <v>10</v>
      </c>
    </row>
    <row r="10" spans="1:2" x14ac:dyDescent="0.2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t="s">
        <v>14</v>
      </c>
      <c r="B2" t="s">
        <v>15</v>
      </c>
    </row>
    <row r="3" spans="1:2" x14ac:dyDescent="0.25">
      <c r="A3" t="s">
        <v>16</v>
      </c>
      <c r="B3" t="s">
        <v>17</v>
      </c>
    </row>
    <row r="4" spans="1:2" x14ac:dyDescent="0.25">
      <c r="A4" t="s">
        <v>18</v>
      </c>
      <c r="B4" t="s">
        <v>19</v>
      </c>
    </row>
    <row r="5" spans="1:2" x14ac:dyDescent="0.25">
      <c r="A5" t="s">
        <v>20</v>
      </c>
      <c r="B5" t="s">
        <v>21</v>
      </c>
    </row>
    <row r="6" spans="1:2" x14ac:dyDescent="0.25">
      <c r="A6" t="s">
        <v>22</v>
      </c>
      <c r="B6" t="s">
        <v>23</v>
      </c>
    </row>
    <row r="7" spans="1:2" x14ac:dyDescent="0.2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6"/>
  <sheetViews>
    <sheetView tabSelected="1" workbookViewId="0">
      <selection activeCell="I20" sqref="I20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4.5703125" customWidth="1"/>
    <col min="21" max="21" width="31.85546875" customWidth="1"/>
    <col min="22" max="22" width="31.42578125" customWidth="1"/>
    <col min="23" max="23" width="42.7109375" customWidth="1"/>
    <col min="24" max="24" width="38.42578125" customWidth="1"/>
    <col min="25" max="25" width="36.7109375" customWidth="1"/>
  </cols>
  <sheetData>
    <row r="1" spans="1:25" x14ac:dyDescent="0.2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49</v>
      </c>
      <c r="J1" s="2" t="s">
        <v>51</v>
      </c>
      <c r="K1" s="2" t="s">
        <v>33</v>
      </c>
      <c r="L1" s="2" t="s">
        <v>34</v>
      </c>
      <c r="M1" s="2" t="s">
        <v>35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53</v>
      </c>
      <c r="U1" s="2" t="s">
        <v>42</v>
      </c>
      <c r="V1" s="2" t="s">
        <v>43</v>
      </c>
      <c r="W1" s="2" t="s">
        <v>44</v>
      </c>
      <c r="X1" s="2" t="s">
        <v>45</v>
      </c>
      <c r="Y1" s="2" t="s">
        <v>52</v>
      </c>
    </row>
    <row r="2" spans="1:25" x14ac:dyDescent="0.2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163</v>
      </c>
      <c r="H2">
        <v>50</v>
      </c>
      <c r="I2">
        <f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T7" si="0">$N2*(1+1/$O2)</f>
        <v>1100.7755555555555</v>
      </c>
      <c r="Q2" s="5">
        <f t="shared" si="0"/>
        <v>1100.7755555555555</v>
      </c>
      <c r="R2" s="5">
        <f t="shared" si="0"/>
        <v>1100.7755555555555</v>
      </c>
      <c r="S2" s="5">
        <f t="shared" si="0"/>
        <v>1100.7755555555555</v>
      </c>
      <c r="T2" s="5">
        <f t="shared" si="0"/>
        <v>1100.7755555555555</v>
      </c>
      <c r="U2" s="6">
        <f>$N2/($O2*$C2)</f>
        <v>2.084012789768185</v>
      </c>
      <c r="V2" s="6">
        <f>$N2/($O2*$D2)</f>
        <v>1.4130623306233061</v>
      </c>
      <c r="W2" s="6">
        <f>$N2/($O2*$E2)</f>
        <v>1.0728806584362138</v>
      </c>
      <c r="X2" s="6">
        <f>$N2/($O2*$F2)</f>
        <v>0.96559259259259256</v>
      </c>
      <c r="Y2" s="6">
        <f>$N2/($O2*$F2)</f>
        <v>0.96559259259259256</v>
      </c>
    </row>
    <row r="3" spans="1:25" x14ac:dyDescent="0.2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299.25</v>
      </c>
      <c r="H3">
        <v>175</v>
      </c>
      <c r="I3">
        <f t="shared" ref="I3:I7" si="1">H3*0.05</f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0"/>
        <v>2042.8166666666666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5">
        <f t="shared" si="0"/>
        <v>2042.8166666666666</v>
      </c>
      <c r="U3" s="6">
        <f>$N3/($O3*$C3)</f>
        <v>18.226253037237949</v>
      </c>
      <c r="V3" s="6">
        <f>$N3/($O3*$D3)</f>
        <v>15.811274509803921</v>
      </c>
      <c r="W3" s="6">
        <f>$N3/($O3*$E3)</f>
        <v>7.4149425287356321</v>
      </c>
      <c r="X3" s="6">
        <f>$N3/($O3*$F3)</f>
        <v>4.3006666666666664</v>
      </c>
      <c r="Y3" s="6">
        <f>$N3/($O3*$F3)</f>
        <v>4.3006666666666664</v>
      </c>
    </row>
    <row r="4" spans="1:25" x14ac:dyDescent="0.25">
      <c r="A4" t="s">
        <v>18</v>
      </c>
      <c r="B4">
        <v>42</v>
      </c>
      <c r="C4">
        <v>38.270000000000003</v>
      </c>
      <c r="D4">
        <v>70</v>
      </c>
      <c r="E4">
        <v>95</v>
      </c>
      <c r="F4">
        <v>115</v>
      </c>
      <c r="G4">
        <v>321.25</v>
      </c>
      <c r="H4">
        <v>175</v>
      </c>
      <c r="I4">
        <f t="shared" si="1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0"/>
        <v>1184.4811111111112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5">
        <f t="shared" si="0"/>
        <v>1184.4811111111112</v>
      </c>
      <c r="U4" s="6">
        <f>$N4/($O4*$C4)</f>
        <v>16.289812153412885</v>
      </c>
      <c r="V4" s="6">
        <f>$N4/($O4*$D4)</f>
        <v>8.9058730158730164</v>
      </c>
      <c r="W4" s="6">
        <f>$N4/($O4*$E4)</f>
        <v>6.5622222222222231</v>
      </c>
      <c r="X4" s="6">
        <f>$N4/($O4*$F4)</f>
        <v>5.4209661835748797</v>
      </c>
      <c r="Y4" s="6">
        <f>$N4/($O4*$F4)</f>
        <v>5.4209661835748797</v>
      </c>
    </row>
    <row r="5" spans="1:25" x14ac:dyDescent="0.25">
      <c r="A5" t="s">
        <v>50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265.75</v>
      </c>
      <c r="H5">
        <v>57.5</v>
      </c>
      <c r="I5">
        <f t="shared" si="1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0"/>
        <v>1127.6288888888889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5">
        <f t="shared" si="0"/>
        <v>1127.6288888888889</v>
      </c>
      <c r="U5" s="6">
        <f>$N5/($O5*$C5)</f>
        <v>12.092275649732862</v>
      </c>
      <c r="V5" s="6">
        <f>$N5/($O5*$D5)</f>
        <v>2.046513409961686</v>
      </c>
      <c r="W5" s="6">
        <f>$N5/($O5*$E5)</f>
        <v>1.5826370370370371</v>
      </c>
      <c r="X5" s="6">
        <f>$N5/($O5*$F5)</f>
        <v>1.2901932367149758</v>
      </c>
      <c r="Y5" s="6">
        <f>$N5/($O5*$F5)</f>
        <v>1.2901932367149758</v>
      </c>
    </row>
    <row r="6" spans="1:25" x14ac:dyDescent="0.2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180.93</v>
      </c>
      <c r="H6">
        <v>150</v>
      </c>
      <c r="I6">
        <f t="shared" si="1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0"/>
        <v>2397.3777777777777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5">
        <f t="shared" si="0"/>
        <v>2397.3777777777777</v>
      </c>
      <c r="U6" s="6">
        <f>$N6/($O6*$C6)</f>
        <v>69.328449328449324</v>
      </c>
      <c r="V6" s="6">
        <f>$N6/($O6*$D6)</f>
        <v>38.235690235690235</v>
      </c>
      <c r="W6" s="6">
        <f>$N6/($O6*$E6)</f>
        <v>20.351254480286734</v>
      </c>
      <c r="X6" s="6">
        <f>$N6/($O6*$F6)</f>
        <v>14.019753086419753</v>
      </c>
      <c r="Y6" s="6">
        <f>$N6/($O6*$F6)</f>
        <v>14.019753086419753</v>
      </c>
    </row>
    <row r="7" spans="1:25" x14ac:dyDescent="0.2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353.38</v>
      </c>
      <c r="H7">
        <v>125</v>
      </c>
      <c r="I7">
        <f t="shared" si="1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0"/>
        <v>2046.7644444444445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5">
        <f t="shared" si="0"/>
        <v>2046.7644444444445</v>
      </c>
      <c r="U7" s="6">
        <f>$N7/($O7*$C7)</f>
        <v>39.016459414865786</v>
      </c>
      <c r="V7" s="6">
        <f>$N7/($O7*$D7)</f>
        <v>11.895367098547309</v>
      </c>
      <c r="W7" s="6">
        <f>$N7/($O7*$E7)</f>
        <v>8.2864957264957262</v>
      </c>
      <c r="X7" s="6">
        <f>$N7/($O7*$F7)</f>
        <v>5.9846913580246914</v>
      </c>
      <c r="Y7" s="6">
        <f>$N7/($O7*$F7)</f>
        <v>5.9846913580246914</v>
      </c>
    </row>
    <row r="8" spans="1:25" x14ac:dyDescent="0.25">
      <c r="T8" s="4"/>
      <c r="U8" s="4"/>
      <c r="V8" s="4"/>
      <c r="W8" s="4"/>
    </row>
    <row r="9" spans="1:25" x14ac:dyDescent="0.25">
      <c r="B9" s="7"/>
    </row>
    <row r="10" spans="1:25" x14ac:dyDescent="0.25">
      <c r="A10" s="4"/>
      <c r="C10" s="4"/>
    </row>
    <row r="11" spans="1:25" x14ac:dyDescent="0.25">
      <c r="A11" s="4"/>
      <c r="C11" s="4"/>
    </row>
    <row r="12" spans="1:25" x14ac:dyDescent="0.25">
      <c r="A12" s="4"/>
      <c r="C12" s="4"/>
    </row>
    <row r="13" spans="1:25" ht="30.6" customHeight="1" x14ac:dyDescent="0.25">
      <c r="A13" s="4"/>
      <c r="C13" s="4"/>
    </row>
    <row r="14" spans="1:25" x14ac:dyDescent="0.25">
      <c r="A14" s="4"/>
      <c r="C14" s="2"/>
      <c r="D14" s="2"/>
    </row>
    <row r="15" spans="1:25" x14ac:dyDescent="0.25">
      <c r="A15" s="4"/>
    </row>
    <row r="16" spans="1:25" x14ac:dyDescent="0.25">
      <c r="A16" s="4"/>
    </row>
    <row r="24" spans="18:22" x14ac:dyDescent="0.25">
      <c r="R24" s="3"/>
    </row>
    <row r="25" spans="18:22" x14ac:dyDescent="0.25">
      <c r="R25" s="3"/>
    </row>
    <row r="26" spans="18:22" x14ac:dyDescent="0.25">
      <c r="R26" s="3"/>
      <c r="S26" s="3"/>
      <c r="T26" s="3"/>
      <c r="U26" s="3"/>
      <c r="V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46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2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47</v>
      </c>
    </row>
    <row r="2" spans="1:1" x14ac:dyDescent="0.25">
      <c r="A2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Alexander Csekoe</cp:lastModifiedBy>
  <dcterms:modified xsi:type="dcterms:W3CDTF">2026-03-27T16:16:49Z</dcterms:modified>
</cp:coreProperties>
</file>