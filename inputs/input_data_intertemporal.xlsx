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EEG\EPEC\EPEC_VS_code\SolarGeoRisk_EPEC_intertemporal\inputs\"/>
    </mc:Choice>
  </mc:AlternateContent>
  <xr:revisionPtr revIDLastSave="0" documentId="13_ncr:1_{EA701123-2A11-4AC9-B570-836E1DCDEB5E}" xr6:coauthVersionLast="47" xr6:coauthVersionMax="47" xr10:uidLastSave="{00000000-0000-0000-0000-000000000000}"/>
  <bookViews>
    <workbookView xWindow="30030" yWindow="2010" windowWidth="21600" windowHeight="12525" activeTab="2" xr2:uid="{00000000-000D-0000-FFFF-FFFF00000000}"/>
  </bookViews>
  <sheets>
    <sheet name="settings" sheetId="1" r:id="rId1"/>
    <sheet name="regions" sheetId="2" r:id="rId2"/>
    <sheet name="params_region" sheetId="3" r:id="rId3"/>
    <sheet name="c_ship" sheetId="4" r:id="rId4"/>
    <sheet name="README" sheetId="5" r:id="rId5"/>
  </sheets>
  <definedNames>
    <definedName name="_xlnm._FilterDatabase" localSheetId="2" hidden="1">params_region!$A$1:$W$7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3" l="1"/>
  <c r="I4" i="3"/>
  <c r="I5" i="3"/>
  <c r="I6" i="3"/>
  <c r="I7" i="3"/>
  <c r="I2" i="3"/>
  <c r="W7" i="3"/>
  <c r="V7" i="3"/>
  <c r="U7" i="3"/>
  <c r="T7" i="3"/>
  <c r="S7" i="3"/>
  <c r="R7" i="3"/>
  <c r="Q7" i="3"/>
  <c r="P7" i="3"/>
  <c r="W6" i="3"/>
  <c r="V6" i="3"/>
  <c r="U6" i="3"/>
  <c r="T6" i="3"/>
  <c r="S6" i="3"/>
  <c r="R6" i="3"/>
  <c r="Q6" i="3"/>
  <c r="P6" i="3"/>
  <c r="W5" i="3"/>
  <c r="V5" i="3"/>
  <c r="U5" i="3"/>
  <c r="T5" i="3"/>
  <c r="S5" i="3"/>
  <c r="R5" i="3"/>
  <c r="Q5" i="3"/>
  <c r="P5" i="3"/>
  <c r="W4" i="3"/>
  <c r="V4" i="3"/>
  <c r="U4" i="3"/>
  <c r="T4" i="3"/>
  <c r="S4" i="3"/>
  <c r="R4" i="3"/>
  <c r="Q4" i="3"/>
  <c r="P4" i="3"/>
  <c r="W3" i="3"/>
  <c r="V3" i="3"/>
  <c r="U3" i="3"/>
  <c r="T3" i="3"/>
  <c r="S3" i="3"/>
  <c r="R3" i="3"/>
  <c r="Q3" i="3"/>
  <c r="P3" i="3"/>
  <c r="W2" i="3"/>
  <c r="V2" i="3"/>
  <c r="U2" i="3"/>
  <c r="T2" i="3"/>
  <c r="S2" i="3"/>
  <c r="R2" i="3"/>
  <c r="Q2" i="3"/>
  <c r="P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N1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Full-demand threshold price p_full, set equal to regional WTP in USD/kW.</t>
        </r>
      </text>
    </comment>
    <comment ref="O1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Absolute value of demand elasticity used for base calibration scenario.</t>
        </r>
      </text>
    </comment>
    <comment ref="P1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Inverse-demand intercept a_dem = p_full*(1+1/eps_abs_base). Unit: USD/kW.</t>
        </r>
      </text>
    </comment>
    <comment ref="Q1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Inverse-demand intercept a_dem = p_full*(1+1/eps_abs_base). Unit: USD/kW.</t>
        </r>
      </text>
    </comment>
    <comment ref="R1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Inverse-demand intercept a_dem = p_full*(1+1/eps_abs_base). Unit: USD/kW.</t>
        </r>
      </text>
    </comment>
    <comment ref="S1" authorId="0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Inverse-demand intercept a_dem = p_full*(1+1/eps_abs_base). Unit: USD/kW.</t>
        </r>
      </text>
    </comment>
    <comment ref="T1" authorId="0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Inverse-demand slope b_dem_2025 = p_full/(eps_abs_base*dmax_2025). Unit: (USD/kW)/GW.</t>
        </r>
      </text>
    </comment>
    <comment ref="U1" authorId="0" shapeId="0" xr:uid="{00000000-0006-0000-0200-000008000000}">
      <text>
        <r>
          <rPr>
            <sz val="11"/>
            <color theme="1"/>
            <rFont val="Calibri"/>
            <family val="2"/>
            <scheme val="minor"/>
          </rPr>
          <t>Inverse-demand slope b_dem_2030 = p_full/(eps_abs_base*dmax_2030). Unit: (USD/kW)/GW.</t>
        </r>
      </text>
    </comment>
    <comment ref="V1" authorId="0" shapeId="0" xr:uid="{00000000-0006-0000-0200-000009000000}">
      <text>
        <r>
          <rPr>
            <sz val="11"/>
            <color theme="1"/>
            <rFont val="Calibri"/>
            <family val="2"/>
            <scheme val="minor"/>
          </rPr>
          <t>Inverse-demand slope b_dem_2035 = p_full/(eps_abs_base*dmax_2035). Unit: (USD/kW)/GW.</t>
        </r>
      </text>
    </comment>
    <comment ref="W1" authorId="0" shapeId="0" xr:uid="{00000000-0006-0000-0200-00000A000000}">
      <text>
        <r>
          <rPr>
            <sz val="11"/>
            <color theme="1"/>
            <rFont val="Calibri"/>
            <family val="2"/>
            <scheme val="minor"/>
          </rPr>
          <t>Inverse-demand slope b_dem_2040 = p_full/(eps_abs_base*dmax_2040). Unit: (USD/kW)/GW.</t>
        </r>
      </text>
    </comment>
  </commentList>
</comments>
</file>

<file path=xl/sharedStrings.xml><?xml version="1.0" encoding="utf-8"?>
<sst xmlns="http://schemas.openxmlformats.org/spreadsheetml/2006/main" count="70" uniqueCount="52">
  <si>
    <t>setting</t>
  </si>
  <si>
    <t>value</t>
  </si>
  <si>
    <t>tau_max</t>
  </si>
  <si>
    <t>players</t>
  </si>
  <si>
    <t>ch,eu,us,apac,af,row</t>
  </si>
  <si>
    <t>damping_eta</t>
  </si>
  <si>
    <t>eps_comp</t>
  </si>
  <si>
    <t>eps_x</t>
  </si>
  <si>
    <t>scenario_welfare</t>
  </si>
  <si>
    <t>capitalistic_players</t>
  </si>
  <si>
    <t>use_quad</t>
  </si>
  <si>
    <t>scenario_capitalistic_china</t>
  </si>
  <si>
    <t>region</t>
  </si>
  <si>
    <t>region_name</t>
  </si>
  <si>
    <t>ch</t>
  </si>
  <si>
    <t>China</t>
  </si>
  <si>
    <t>eu</t>
  </si>
  <si>
    <t>Europe</t>
  </si>
  <si>
    <t>us</t>
  </si>
  <si>
    <t>North America</t>
  </si>
  <si>
    <t>apac</t>
  </si>
  <si>
    <t>Asia (APAC+ROA)</t>
  </si>
  <si>
    <t>af</t>
  </si>
  <si>
    <t>Africa</t>
  </si>
  <si>
    <t>row</t>
  </si>
  <si>
    <t>Rest of World</t>
  </si>
  <si>
    <t>qcap_exist_gw</t>
  </si>
  <si>
    <t>dmax_2025_gw</t>
  </si>
  <si>
    <t>dmax_2030_gw</t>
  </si>
  <si>
    <t>dmax_2035_gw</t>
  </si>
  <si>
    <t>dmax_2040_gw</t>
  </si>
  <si>
    <t>c_man_usd_per_kw</t>
  </si>
  <si>
    <t>c_inv_musd_per_gw_per_yr</t>
  </si>
  <si>
    <t>g_dec_ub_per_yr</t>
  </si>
  <si>
    <t>p_offer_max_usd_per_kw</t>
  </si>
  <si>
    <t>rho_p_scalar</t>
  </si>
  <si>
    <t>p_full_usd_per_kw</t>
  </si>
  <si>
    <t>eps_abs_base_scalar</t>
  </si>
  <si>
    <t>a_dem_2025_usd_per_kw</t>
  </si>
  <si>
    <t>a_dem_2030_usd_per_kw</t>
  </si>
  <si>
    <t>a_dem_2035_usd_per_kw</t>
  </si>
  <si>
    <t>a_dem_2040_usd_per_kw</t>
  </si>
  <si>
    <t>b_dem_2025_usd_per_kw_per_gw</t>
  </si>
  <si>
    <t>b_dem_2030_usd_per_kw_per_gw</t>
  </si>
  <si>
    <t>b_dem_2035_usd_per_kw_per_gw</t>
  </si>
  <si>
    <t>b_dem_2040_usd_per_kw_per_gw</t>
  </si>
  <si>
    <t>exporter</t>
  </si>
  <si>
    <t>README</t>
  </si>
  <si>
    <t xml:space="preserve">Solar supply chain model input data (updated demand calibration)
Header naming convention:
- lower-case snake_case
- unit suffixes embedded in the header name
Demand calibration (base case):
- p_full_usd_per_kw = regional full-demand threshold price, set equal to WTP
- eps_abs_base_scalar = 0.90
- a_dem_t_usd_per_kw = p_full * (1 + 1 / eps_abs_base)
- b_dem_t_usd_per_kw_per_gw = p_full / (eps_abs_base * dmax_t)
Core units:
- prices and manufacturing costs: usd_per_kw
- capacities and demand caps: gw
- investment / holding costs: musd_per_gw_per_yr
</t>
  </si>
  <si>
    <t>c_hold_musd_per_gw_per_yr</t>
  </si>
  <si>
    <t>roa</t>
  </si>
  <si>
    <t>g_exp_ub_per_yr_gw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</si>
</sst>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2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6</xdr:col>
      <xdr:colOff>1041400</xdr:colOff>
      <xdr:row>33</xdr:row>
      <xdr:rowOff>69850</xdr:rowOff>
    </xdr:to>
    <xdr:sp macro="" textlink="">
      <xdr:nvSpPr>
        <xdr:cNvPr id="1035" name="Text Box 11" hidden="1">
          <a:extLst>
            <a:ext uri="{FF2B5EF4-FFF2-40B4-BE49-F238E27FC236}">
              <a16:creationId xmlns:a16="http://schemas.microsoft.com/office/drawing/2014/main" id="{DA58BB55-35A2-9187-2F9E-435D0532AB7C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1041400</xdr:colOff>
      <xdr:row>33</xdr:row>
      <xdr:rowOff>69850</xdr:rowOff>
    </xdr:to>
    <xdr:sp macro="" textlink="">
      <xdr:nvSpPr>
        <xdr:cNvPr id="2" name="AutoShape 11">
          <a:extLst>
            <a:ext uri="{FF2B5EF4-FFF2-40B4-BE49-F238E27FC236}">
              <a16:creationId xmlns:a16="http://schemas.microsoft.com/office/drawing/2014/main" id="{20DB40AD-A801-AFC5-29B1-3FEB6B1D978B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829945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1041400</xdr:colOff>
      <xdr:row>33</xdr:row>
      <xdr:rowOff>69850</xdr:rowOff>
    </xdr:to>
    <xdr:sp macro="" textlink="">
      <xdr:nvSpPr>
        <xdr:cNvPr id="3" name="AutoShape 11">
          <a:extLst>
            <a:ext uri="{FF2B5EF4-FFF2-40B4-BE49-F238E27FC236}">
              <a16:creationId xmlns:a16="http://schemas.microsoft.com/office/drawing/2014/main" id="{15032E20-A5F3-B083-8014-3334C15DB993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829945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1041400</xdr:colOff>
      <xdr:row>33</xdr:row>
      <xdr:rowOff>69850</xdr:rowOff>
    </xdr:to>
    <xdr:sp macro="" textlink="">
      <xdr:nvSpPr>
        <xdr:cNvPr id="4" name="AutoShape 11">
          <a:extLst>
            <a:ext uri="{FF2B5EF4-FFF2-40B4-BE49-F238E27FC236}">
              <a16:creationId xmlns:a16="http://schemas.microsoft.com/office/drawing/2014/main" id="{2F950EA5-5C9E-07B9-A431-6203687B16CA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829945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1041400</xdr:colOff>
      <xdr:row>33</xdr:row>
      <xdr:rowOff>69850</xdr:rowOff>
    </xdr:to>
    <xdr:sp macro="" textlink="">
      <xdr:nvSpPr>
        <xdr:cNvPr id="5" name="AutoShape 11">
          <a:extLst>
            <a:ext uri="{FF2B5EF4-FFF2-40B4-BE49-F238E27FC236}">
              <a16:creationId xmlns:a16="http://schemas.microsoft.com/office/drawing/2014/main" id="{AF077932-AB85-5284-F139-1A17DAC5BD2C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829945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1041400</xdr:colOff>
      <xdr:row>33</xdr:row>
      <xdr:rowOff>69850</xdr:rowOff>
    </xdr:to>
    <xdr:sp macro="" textlink="">
      <xdr:nvSpPr>
        <xdr:cNvPr id="6" name="AutoShape 11">
          <a:extLst>
            <a:ext uri="{FF2B5EF4-FFF2-40B4-BE49-F238E27FC236}">
              <a16:creationId xmlns:a16="http://schemas.microsoft.com/office/drawing/2014/main" id="{37A28031-2919-2EBA-1038-0AB0ED981ED7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829945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1041400</xdr:colOff>
      <xdr:row>33</xdr:row>
      <xdr:rowOff>69850</xdr:rowOff>
    </xdr:to>
    <xdr:sp macro="" textlink="">
      <xdr:nvSpPr>
        <xdr:cNvPr id="7" name="AutoShape 11">
          <a:extLst>
            <a:ext uri="{FF2B5EF4-FFF2-40B4-BE49-F238E27FC236}">
              <a16:creationId xmlns:a16="http://schemas.microsoft.com/office/drawing/2014/main" id="{4AFB1342-4107-852A-346B-EF7E40FB286A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829945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1041400</xdr:colOff>
      <xdr:row>33</xdr:row>
      <xdr:rowOff>69850</xdr:rowOff>
    </xdr:to>
    <xdr:sp macro="" textlink="">
      <xdr:nvSpPr>
        <xdr:cNvPr id="8" name="AutoShape 11">
          <a:extLst>
            <a:ext uri="{FF2B5EF4-FFF2-40B4-BE49-F238E27FC236}">
              <a16:creationId xmlns:a16="http://schemas.microsoft.com/office/drawing/2014/main" id="{B3361DFC-9C6A-3512-24A2-CB9D19AE59B1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829945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1041400</xdr:colOff>
      <xdr:row>33</xdr:row>
      <xdr:rowOff>69850</xdr:rowOff>
    </xdr:to>
    <xdr:sp macro="" textlink="">
      <xdr:nvSpPr>
        <xdr:cNvPr id="9" name="AutoShape 11">
          <a:extLst>
            <a:ext uri="{FF2B5EF4-FFF2-40B4-BE49-F238E27FC236}">
              <a16:creationId xmlns:a16="http://schemas.microsoft.com/office/drawing/2014/main" id="{9610934A-61E7-AFCD-A513-99981C840CF5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829945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1041400</xdr:colOff>
      <xdr:row>33</xdr:row>
      <xdr:rowOff>69850</xdr:rowOff>
    </xdr:to>
    <xdr:sp macro="" textlink="">
      <xdr:nvSpPr>
        <xdr:cNvPr id="10" name="AutoShape 11">
          <a:extLst>
            <a:ext uri="{FF2B5EF4-FFF2-40B4-BE49-F238E27FC236}">
              <a16:creationId xmlns:a16="http://schemas.microsoft.com/office/drawing/2014/main" id="{602025C5-2E30-3980-7139-BCA302E673FB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829945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1041400</xdr:colOff>
      <xdr:row>33</xdr:row>
      <xdr:rowOff>69850</xdr:rowOff>
    </xdr:to>
    <xdr:sp macro="" textlink="">
      <xdr:nvSpPr>
        <xdr:cNvPr id="11" name="AutoShape 11">
          <a:extLst>
            <a:ext uri="{FF2B5EF4-FFF2-40B4-BE49-F238E27FC236}">
              <a16:creationId xmlns:a16="http://schemas.microsoft.com/office/drawing/2014/main" id="{6E08AE79-14AE-B6A1-136A-B86C4FF1DC6A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829945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Offic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"/>
  <sheetViews>
    <sheetView workbookViewId="0"/>
  </sheetViews>
  <sheetFormatPr defaultColWidth="9.1796875" defaultRowHeight="14.5" x14ac:dyDescent="0.35"/>
  <sheetData>
    <row r="1" spans="1:2" x14ac:dyDescent="0.35">
      <c r="A1" s="1" t="s">
        <v>0</v>
      </c>
      <c r="B1" s="1" t="s">
        <v>1</v>
      </c>
    </row>
    <row r="2" spans="1:2" x14ac:dyDescent="0.35">
      <c r="A2" t="s">
        <v>2</v>
      </c>
    </row>
    <row r="3" spans="1:2" x14ac:dyDescent="0.35">
      <c r="A3" t="s">
        <v>3</v>
      </c>
      <c r="B3" t="s">
        <v>4</v>
      </c>
    </row>
    <row r="4" spans="1:2" x14ac:dyDescent="0.35">
      <c r="A4" t="s">
        <v>5</v>
      </c>
    </row>
    <row r="5" spans="1:2" x14ac:dyDescent="0.35">
      <c r="A5" t="s">
        <v>6</v>
      </c>
    </row>
    <row r="6" spans="1:2" x14ac:dyDescent="0.35">
      <c r="A6" t="s">
        <v>7</v>
      </c>
    </row>
    <row r="7" spans="1:2" x14ac:dyDescent="0.35">
      <c r="A7" t="s">
        <v>8</v>
      </c>
    </row>
    <row r="8" spans="1:2" x14ac:dyDescent="0.35">
      <c r="A8" t="s">
        <v>9</v>
      </c>
    </row>
    <row r="9" spans="1:2" x14ac:dyDescent="0.35">
      <c r="A9" t="s">
        <v>10</v>
      </c>
    </row>
    <row r="10" spans="1:2" x14ac:dyDescent="0.35">
      <c r="A10" t="s">
        <v>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7"/>
  <sheetViews>
    <sheetView workbookViewId="0"/>
  </sheetViews>
  <sheetFormatPr defaultColWidth="9.1796875" defaultRowHeight="14.5" x14ac:dyDescent="0.35"/>
  <sheetData>
    <row r="1" spans="1:2" x14ac:dyDescent="0.35">
      <c r="A1" s="1" t="s">
        <v>12</v>
      </c>
      <c r="B1" s="1" t="s">
        <v>13</v>
      </c>
    </row>
    <row r="2" spans="1:2" x14ac:dyDescent="0.35">
      <c r="A2" t="s">
        <v>14</v>
      </c>
      <c r="B2" t="s">
        <v>15</v>
      </c>
    </row>
    <row r="3" spans="1:2" x14ac:dyDescent="0.35">
      <c r="A3" t="s">
        <v>16</v>
      </c>
      <c r="B3" t="s">
        <v>17</v>
      </c>
    </row>
    <row r="4" spans="1:2" x14ac:dyDescent="0.35">
      <c r="A4" t="s">
        <v>18</v>
      </c>
      <c r="B4" t="s">
        <v>19</v>
      </c>
    </row>
    <row r="5" spans="1:2" x14ac:dyDescent="0.35">
      <c r="A5" t="s">
        <v>20</v>
      </c>
      <c r="B5" t="s">
        <v>21</v>
      </c>
    </row>
    <row r="6" spans="1:2" x14ac:dyDescent="0.35">
      <c r="A6" t="s">
        <v>22</v>
      </c>
      <c r="B6" t="s">
        <v>23</v>
      </c>
    </row>
    <row r="7" spans="1:2" x14ac:dyDescent="0.35">
      <c r="A7" t="s">
        <v>24</v>
      </c>
      <c r="B7" t="s">
        <v>25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26"/>
  <sheetViews>
    <sheetView tabSelected="1" workbookViewId="0">
      <selection activeCell="G22" sqref="G22"/>
    </sheetView>
  </sheetViews>
  <sheetFormatPr defaultColWidth="9.1796875" defaultRowHeight="14.5" x14ac:dyDescent="0.35"/>
  <cols>
    <col min="1" max="1" width="10" customWidth="1"/>
    <col min="2" max="2" width="14" customWidth="1"/>
    <col min="3" max="3" width="21.453125" customWidth="1"/>
    <col min="4" max="4" width="18.7265625" customWidth="1"/>
    <col min="5" max="5" width="20.26953125" customWidth="1"/>
    <col min="6" max="6" width="19.453125" customWidth="1"/>
    <col min="7" max="7" width="25.7265625" customWidth="1"/>
    <col min="8" max="8" width="26" customWidth="1"/>
    <col min="9" max="9" width="30.6328125" customWidth="1"/>
    <col min="10" max="10" width="20.36328125" customWidth="1"/>
    <col min="11" max="11" width="23.08984375" customWidth="1"/>
    <col min="12" max="12" width="28" customWidth="1"/>
    <col min="13" max="13" width="16.54296875" customWidth="1"/>
    <col min="14" max="14" width="18" customWidth="1"/>
    <col min="15" max="15" width="27.90625" customWidth="1"/>
    <col min="16" max="16" width="25.36328125" customWidth="1"/>
    <col min="17" max="17" width="24.1796875" customWidth="1"/>
    <col min="18" max="18" width="22.90625" customWidth="1"/>
    <col min="19" max="19" width="28.6328125" customWidth="1"/>
    <col min="20" max="20" width="34.6328125" customWidth="1"/>
    <col min="21" max="21" width="31.90625" customWidth="1"/>
    <col min="22" max="22" width="31.36328125" customWidth="1"/>
    <col min="23" max="23" width="30.7265625" customWidth="1"/>
  </cols>
  <sheetData>
    <row r="1" spans="1:23" x14ac:dyDescent="0.35">
      <c r="A1" s="2" t="s">
        <v>12</v>
      </c>
      <c r="B1" s="2" t="s">
        <v>26</v>
      </c>
      <c r="C1" s="2" t="s">
        <v>27</v>
      </c>
      <c r="D1" s="2" t="s">
        <v>28</v>
      </c>
      <c r="E1" s="2" t="s">
        <v>29</v>
      </c>
      <c r="F1" s="2" t="s">
        <v>30</v>
      </c>
      <c r="G1" s="2" t="s">
        <v>31</v>
      </c>
      <c r="H1" s="2" t="s">
        <v>32</v>
      </c>
      <c r="I1" s="2" t="s">
        <v>49</v>
      </c>
      <c r="J1" s="2" t="s">
        <v>51</v>
      </c>
      <c r="K1" s="2" t="s">
        <v>33</v>
      </c>
      <c r="L1" s="2" t="s">
        <v>34</v>
      </c>
      <c r="M1" s="2" t="s">
        <v>35</v>
      </c>
      <c r="N1" s="2" t="s">
        <v>36</v>
      </c>
      <c r="O1" s="2" t="s">
        <v>37</v>
      </c>
      <c r="P1" s="2" t="s">
        <v>38</v>
      </c>
      <c r="Q1" s="2" t="s">
        <v>39</v>
      </c>
      <c r="R1" s="2" t="s">
        <v>40</v>
      </c>
      <c r="S1" s="2" t="s">
        <v>41</v>
      </c>
      <c r="T1" s="2" t="s">
        <v>42</v>
      </c>
      <c r="U1" s="2" t="s">
        <v>43</v>
      </c>
      <c r="V1" s="2" t="s">
        <v>44</v>
      </c>
      <c r="W1" s="2" t="s">
        <v>45</v>
      </c>
    </row>
    <row r="2" spans="1:23" x14ac:dyDescent="0.35">
      <c r="A2" t="s">
        <v>14</v>
      </c>
      <c r="B2">
        <v>931</v>
      </c>
      <c r="C2">
        <v>278</v>
      </c>
      <c r="D2">
        <v>410</v>
      </c>
      <c r="E2">
        <v>540</v>
      </c>
      <c r="F2">
        <v>600</v>
      </c>
      <c r="G2">
        <v>163</v>
      </c>
      <c r="H2">
        <v>50</v>
      </c>
      <c r="I2">
        <f>H2*0.05</f>
        <v>2.5</v>
      </c>
      <c r="J2">
        <v>27.4</v>
      </c>
      <c r="K2">
        <v>1</v>
      </c>
      <c r="L2">
        <v>1000</v>
      </c>
      <c r="M2">
        <v>1E-3</v>
      </c>
      <c r="N2" s="5">
        <v>521.41999999999996</v>
      </c>
      <c r="O2" s="5">
        <v>0.9</v>
      </c>
      <c r="P2" s="5">
        <f t="shared" ref="P2:S7" si="0">$N2*(1+1/$O2)</f>
        <v>1100.7755555555555</v>
      </c>
      <c r="Q2" s="5">
        <f t="shared" si="0"/>
        <v>1100.7755555555555</v>
      </c>
      <c r="R2" s="5">
        <f t="shared" si="0"/>
        <v>1100.7755555555555</v>
      </c>
      <c r="S2" s="5">
        <f t="shared" si="0"/>
        <v>1100.7755555555555</v>
      </c>
      <c r="T2" s="6">
        <f t="shared" ref="T2:T7" si="1">$N2/($O2*$C2)</f>
        <v>2.084012789768185</v>
      </c>
      <c r="U2" s="6">
        <f t="shared" ref="U2:U7" si="2">$N2/($O2*$D2)</f>
        <v>1.4130623306233061</v>
      </c>
      <c r="V2" s="6">
        <f t="shared" ref="V2:V7" si="3">$N2/($O2*$E2)</f>
        <v>1.0728806584362138</v>
      </c>
      <c r="W2" s="6">
        <f t="shared" ref="W2:W7" si="4">$N2/($O2*$F2)</f>
        <v>0.96559259259259256</v>
      </c>
    </row>
    <row r="3" spans="1:23" x14ac:dyDescent="0.35">
      <c r="A3" t="s">
        <v>16</v>
      </c>
      <c r="B3">
        <v>22</v>
      </c>
      <c r="C3">
        <v>58.99</v>
      </c>
      <c r="D3">
        <v>68</v>
      </c>
      <c r="E3">
        <v>145</v>
      </c>
      <c r="F3">
        <v>250</v>
      </c>
      <c r="G3">
        <v>299.25</v>
      </c>
      <c r="H3">
        <v>175</v>
      </c>
      <c r="I3">
        <f t="shared" ref="I3:I7" si="5">H3*0.05</f>
        <v>8.75</v>
      </c>
      <c r="J3">
        <v>3.6</v>
      </c>
      <c r="K3">
        <v>1</v>
      </c>
      <c r="L3">
        <v>1000</v>
      </c>
      <c r="M3">
        <v>1E-3</v>
      </c>
      <c r="N3" s="5">
        <v>967.65</v>
      </c>
      <c r="O3" s="5">
        <v>0.9</v>
      </c>
      <c r="P3" s="5">
        <f t="shared" si="0"/>
        <v>2042.8166666666666</v>
      </c>
      <c r="Q3" s="5">
        <f t="shared" si="0"/>
        <v>2042.8166666666666</v>
      </c>
      <c r="R3" s="5">
        <f t="shared" si="0"/>
        <v>2042.8166666666666</v>
      </c>
      <c r="S3" s="5">
        <f t="shared" si="0"/>
        <v>2042.8166666666666</v>
      </c>
      <c r="T3" s="6">
        <f t="shared" si="1"/>
        <v>18.226253037237949</v>
      </c>
      <c r="U3" s="6">
        <f t="shared" si="2"/>
        <v>15.811274509803921</v>
      </c>
      <c r="V3" s="6">
        <f t="shared" si="3"/>
        <v>7.4149425287356321</v>
      </c>
      <c r="W3" s="6">
        <f t="shared" si="4"/>
        <v>4.3006666666666664</v>
      </c>
    </row>
    <row r="4" spans="1:23" x14ac:dyDescent="0.35">
      <c r="A4" t="s">
        <v>18</v>
      </c>
      <c r="B4">
        <v>42</v>
      </c>
      <c r="C4">
        <v>38.270000000000003</v>
      </c>
      <c r="D4">
        <v>70</v>
      </c>
      <c r="E4">
        <v>95</v>
      </c>
      <c r="F4">
        <v>115</v>
      </c>
      <c r="G4">
        <v>321.25</v>
      </c>
      <c r="H4">
        <v>175</v>
      </c>
      <c r="I4">
        <f t="shared" si="5"/>
        <v>8.75</v>
      </c>
      <c r="J4">
        <v>14.5</v>
      </c>
      <c r="K4">
        <v>1</v>
      </c>
      <c r="L4">
        <v>1000</v>
      </c>
      <c r="M4">
        <v>1E-3</v>
      </c>
      <c r="N4" s="5">
        <v>561.07000000000005</v>
      </c>
      <c r="O4" s="5">
        <v>0.9</v>
      </c>
      <c r="P4" s="5">
        <f t="shared" si="0"/>
        <v>1184.4811111111112</v>
      </c>
      <c r="Q4" s="5">
        <f t="shared" si="0"/>
        <v>1184.4811111111112</v>
      </c>
      <c r="R4" s="5">
        <f t="shared" si="0"/>
        <v>1184.4811111111112</v>
      </c>
      <c r="S4" s="5">
        <f t="shared" si="0"/>
        <v>1184.4811111111112</v>
      </c>
      <c r="T4" s="6">
        <f t="shared" si="1"/>
        <v>16.289812153412885</v>
      </c>
      <c r="U4" s="6">
        <f t="shared" si="2"/>
        <v>8.9058730158730164</v>
      </c>
      <c r="V4" s="6">
        <f t="shared" si="3"/>
        <v>6.5622222222222231</v>
      </c>
      <c r="W4" s="6">
        <f t="shared" si="4"/>
        <v>5.4209661835748797</v>
      </c>
    </row>
    <row r="5" spans="1:23" x14ac:dyDescent="0.35">
      <c r="A5" t="s">
        <v>50</v>
      </c>
      <c r="B5">
        <v>110</v>
      </c>
      <c r="C5">
        <v>49.08</v>
      </c>
      <c r="D5">
        <v>290</v>
      </c>
      <c r="E5">
        <v>375</v>
      </c>
      <c r="F5">
        <v>460</v>
      </c>
      <c r="G5">
        <v>265.75204563977178</v>
      </c>
      <c r="H5">
        <v>57.5</v>
      </c>
      <c r="I5">
        <f t="shared" si="5"/>
        <v>2.875</v>
      </c>
      <c r="J5">
        <v>3.2479999999999989</v>
      </c>
      <c r="K5">
        <v>1</v>
      </c>
      <c r="L5">
        <v>1000</v>
      </c>
      <c r="M5">
        <v>1E-3</v>
      </c>
      <c r="N5" s="5">
        <v>534.14</v>
      </c>
      <c r="O5" s="5">
        <v>0.9</v>
      </c>
      <c r="P5" s="5">
        <f t="shared" si="0"/>
        <v>1127.6288888888889</v>
      </c>
      <c r="Q5" s="5">
        <f t="shared" si="0"/>
        <v>1127.6288888888889</v>
      </c>
      <c r="R5" s="5">
        <f t="shared" si="0"/>
        <v>1127.6288888888889</v>
      </c>
      <c r="S5" s="5">
        <f t="shared" si="0"/>
        <v>1127.6288888888889</v>
      </c>
      <c r="T5" s="6">
        <f t="shared" si="1"/>
        <v>12.092275649732862</v>
      </c>
      <c r="U5" s="6">
        <f t="shared" si="2"/>
        <v>2.046513409961686</v>
      </c>
      <c r="V5" s="6">
        <f t="shared" si="3"/>
        <v>1.5826370370370371</v>
      </c>
      <c r="W5" s="6">
        <f t="shared" si="4"/>
        <v>1.2901932367149758</v>
      </c>
    </row>
    <row r="6" spans="1:23" x14ac:dyDescent="0.35">
      <c r="A6" t="s">
        <v>22</v>
      </c>
      <c r="B6">
        <v>3.4</v>
      </c>
      <c r="C6">
        <v>18.2</v>
      </c>
      <c r="D6">
        <v>33</v>
      </c>
      <c r="E6">
        <v>62</v>
      </c>
      <c r="F6">
        <v>90</v>
      </c>
      <c r="G6">
        <v>180.93</v>
      </c>
      <c r="H6">
        <v>150</v>
      </c>
      <c r="I6">
        <f t="shared" si="5"/>
        <v>7.5</v>
      </c>
      <c r="J6">
        <v>0.2</v>
      </c>
      <c r="K6">
        <v>1</v>
      </c>
      <c r="L6">
        <v>1000</v>
      </c>
      <c r="M6">
        <v>1E-3</v>
      </c>
      <c r="N6" s="5">
        <v>1135.5999999999999</v>
      </c>
      <c r="O6" s="5">
        <v>0.9</v>
      </c>
      <c r="P6" s="5">
        <f t="shared" si="0"/>
        <v>2397.3777777777777</v>
      </c>
      <c r="Q6" s="5">
        <f t="shared" si="0"/>
        <v>2397.3777777777777</v>
      </c>
      <c r="R6" s="5">
        <f t="shared" si="0"/>
        <v>2397.3777777777777</v>
      </c>
      <c r="S6" s="5">
        <f t="shared" si="0"/>
        <v>2397.3777777777777</v>
      </c>
      <c r="T6" s="6">
        <f t="shared" si="1"/>
        <v>69.328449328449324</v>
      </c>
      <c r="U6" s="6">
        <f t="shared" si="2"/>
        <v>38.235690235690235</v>
      </c>
      <c r="V6" s="6">
        <f t="shared" si="3"/>
        <v>20.351254480286734</v>
      </c>
      <c r="W6" s="6">
        <f t="shared" si="4"/>
        <v>14.019753086419753</v>
      </c>
    </row>
    <row r="7" spans="1:23" x14ac:dyDescent="0.35">
      <c r="A7" t="s">
        <v>24</v>
      </c>
      <c r="B7">
        <v>293</v>
      </c>
      <c r="C7">
        <v>27.61</v>
      </c>
      <c r="D7">
        <v>90.56</v>
      </c>
      <c r="E7">
        <v>130</v>
      </c>
      <c r="F7">
        <v>180</v>
      </c>
      <c r="G7">
        <v>353.38</v>
      </c>
      <c r="H7">
        <v>125</v>
      </c>
      <c r="I7">
        <f t="shared" si="5"/>
        <v>6.25</v>
      </c>
      <c r="J7">
        <v>8.6799999999999962</v>
      </c>
      <c r="K7">
        <v>1</v>
      </c>
      <c r="L7">
        <v>1000</v>
      </c>
      <c r="M7">
        <v>1E-3</v>
      </c>
      <c r="N7" s="5">
        <v>969.52</v>
      </c>
      <c r="O7" s="5">
        <v>0.9</v>
      </c>
      <c r="P7" s="5">
        <f t="shared" si="0"/>
        <v>2046.7644444444445</v>
      </c>
      <c r="Q7" s="5">
        <f t="shared" si="0"/>
        <v>2046.7644444444445</v>
      </c>
      <c r="R7" s="5">
        <f t="shared" si="0"/>
        <v>2046.7644444444445</v>
      </c>
      <c r="S7" s="5">
        <f t="shared" si="0"/>
        <v>2046.7644444444445</v>
      </c>
      <c r="T7" s="6">
        <f t="shared" si="1"/>
        <v>39.016459414865786</v>
      </c>
      <c r="U7" s="6">
        <f t="shared" si="2"/>
        <v>11.895367098547309</v>
      </c>
      <c r="V7" s="6">
        <f t="shared" si="3"/>
        <v>8.2864957264957262</v>
      </c>
      <c r="W7" s="6">
        <f t="shared" si="4"/>
        <v>5.9846913580246914</v>
      </c>
    </row>
    <row r="8" spans="1:23" x14ac:dyDescent="0.35">
      <c r="T8" s="4"/>
      <c r="U8" s="4"/>
      <c r="V8" s="4"/>
      <c r="W8" s="4"/>
    </row>
    <row r="10" spans="1:23" x14ac:dyDescent="0.35">
      <c r="A10" s="4"/>
      <c r="C10" s="4"/>
    </row>
    <row r="11" spans="1:23" x14ac:dyDescent="0.35">
      <c r="A11" s="4"/>
      <c r="C11" s="4"/>
    </row>
    <row r="12" spans="1:23" x14ac:dyDescent="0.35">
      <c r="A12" s="4"/>
      <c r="C12" s="4"/>
    </row>
    <row r="13" spans="1:23" ht="30.65" customHeight="1" x14ac:dyDescent="0.35">
      <c r="A13" s="4"/>
      <c r="C13" s="4"/>
    </row>
    <row r="14" spans="1:23" x14ac:dyDescent="0.35">
      <c r="A14" s="4"/>
      <c r="C14" s="4"/>
    </row>
    <row r="15" spans="1:23" x14ac:dyDescent="0.35">
      <c r="A15" s="4"/>
      <c r="C15" s="4"/>
    </row>
    <row r="16" spans="1:23" x14ac:dyDescent="0.35">
      <c r="A16" s="4"/>
      <c r="C16" s="4"/>
    </row>
    <row r="24" spans="18:22" x14ac:dyDescent="0.35">
      <c r="R24" s="3"/>
    </row>
    <row r="25" spans="18:22" x14ac:dyDescent="0.35">
      <c r="R25" s="3"/>
    </row>
    <row r="26" spans="18:22" x14ac:dyDescent="0.35">
      <c r="R26" s="3"/>
      <c r="S26" s="3"/>
      <c r="T26" s="3"/>
      <c r="U26" s="3"/>
      <c r="V26" s="3"/>
    </row>
  </sheetData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7"/>
  <sheetViews>
    <sheetView workbookViewId="0"/>
  </sheetViews>
  <sheetFormatPr defaultColWidth="9.1796875" defaultRowHeight="14.5" x14ac:dyDescent="0.35"/>
  <sheetData>
    <row r="1" spans="1:7" x14ac:dyDescent="0.35">
      <c r="A1" t="s">
        <v>46</v>
      </c>
      <c r="B1" t="s">
        <v>14</v>
      </c>
      <c r="C1" t="s">
        <v>16</v>
      </c>
      <c r="D1" t="s">
        <v>18</v>
      </c>
      <c r="E1" t="s">
        <v>20</v>
      </c>
      <c r="F1" t="s">
        <v>22</v>
      </c>
      <c r="G1" t="s">
        <v>24</v>
      </c>
    </row>
    <row r="2" spans="1:7" x14ac:dyDescent="0.35">
      <c r="A2" t="s">
        <v>14</v>
      </c>
      <c r="B2">
        <v>0</v>
      </c>
      <c r="C2">
        <v>16.117999999999999</v>
      </c>
      <c r="D2">
        <v>11.132999999999999</v>
      </c>
      <c r="E2">
        <v>13.78042157888167</v>
      </c>
      <c r="F2">
        <v>10.5</v>
      </c>
      <c r="G2">
        <v>14.59645230960589</v>
      </c>
    </row>
    <row r="3" spans="1:7" x14ac:dyDescent="0.35">
      <c r="A3" t="s">
        <v>16</v>
      </c>
      <c r="B3">
        <v>16.117999999999999</v>
      </c>
      <c r="C3">
        <v>0</v>
      </c>
      <c r="D3">
        <v>18.760000000000002</v>
      </c>
      <c r="E3">
        <v>18.133640203215091</v>
      </c>
      <c r="F3">
        <v>9.8000000000000007</v>
      </c>
      <c r="G3">
        <v>8.4362881656626847</v>
      </c>
    </row>
    <row r="4" spans="1:7" x14ac:dyDescent="0.35">
      <c r="A4" t="s">
        <v>18</v>
      </c>
      <c r="B4">
        <v>24.731000000000002</v>
      </c>
      <c r="C4">
        <v>9.3970000000000002</v>
      </c>
      <c r="D4">
        <v>0</v>
      </c>
      <c r="E4">
        <v>14.737656155323689</v>
      </c>
      <c r="F4">
        <v>14.2</v>
      </c>
      <c r="G4">
        <v>14.449824965889</v>
      </c>
    </row>
    <row r="5" spans="1:7" x14ac:dyDescent="0.35">
      <c r="A5" t="s">
        <v>20</v>
      </c>
      <c r="B5">
        <v>13.232892950285249</v>
      </c>
      <c r="C5">
        <v>16.307173512632438</v>
      </c>
      <c r="D5">
        <v>13.710080806845969</v>
      </c>
      <c r="E5">
        <v>0</v>
      </c>
      <c r="F5">
        <v>13.172616136919309</v>
      </c>
      <c r="G5">
        <v>18.882414716557939</v>
      </c>
    </row>
    <row r="6" spans="1:7" x14ac:dyDescent="0.35">
      <c r="A6" t="s">
        <v>22</v>
      </c>
      <c r="B6">
        <v>4.5</v>
      </c>
      <c r="C6">
        <v>6.2</v>
      </c>
      <c r="D6">
        <v>8.5</v>
      </c>
      <c r="E6">
        <v>7.024572127139364</v>
      </c>
      <c r="F6">
        <v>0</v>
      </c>
      <c r="G6">
        <v>7.5</v>
      </c>
    </row>
    <row r="7" spans="1:7" x14ac:dyDescent="0.35">
      <c r="A7" t="s">
        <v>24</v>
      </c>
      <c r="B7">
        <v>14.122395904436861</v>
      </c>
      <c r="C7">
        <v>8.123641638225255</v>
      </c>
      <c r="D7">
        <v>13.78744368600683</v>
      </c>
      <c r="E7">
        <v>19.752714320654551</v>
      </c>
      <c r="F7">
        <v>12.5</v>
      </c>
      <c r="G7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2"/>
  <sheetViews>
    <sheetView workbookViewId="0"/>
  </sheetViews>
  <sheetFormatPr defaultColWidth="9.1796875" defaultRowHeight="14.5" x14ac:dyDescent="0.35"/>
  <sheetData>
    <row r="1" spans="1:1" x14ac:dyDescent="0.35">
      <c r="A1" s="1" t="s">
        <v>47</v>
      </c>
    </row>
    <row r="2" spans="1:1" x14ac:dyDescent="0.35">
      <c r="A2" t="s">
        <v>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settings</vt:lpstr>
      <vt:lpstr>regions</vt:lpstr>
      <vt:lpstr>params_region</vt:lpstr>
      <vt:lpstr>c_ship</vt:lpstr>
      <vt:lpstr>README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Csekö, Alexander</cp:lastModifiedBy>
  <dcterms:modified xsi:type="dcterms:W3CDTF">2026-03-24T15:58:30Z</dcterms:modified>
</cp:coreProperties>
</file>