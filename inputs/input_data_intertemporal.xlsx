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Alexander\Studium\EEG\Complementarity Modelling\SolarGeoRisk_EPEC_intertemporal\inputs\"/>
    </mc:Choice>
  </mc:AlternateContent>
  <xr:revisionPtr revIDLastSave="0" documentId="13_ncr:1_{97EA6795-544C-489D-8F5D-A4E10F368C29}" xr6:coauthVersionLast="47" xr6:coauthVersionMax="47" xr10:uidLastSave="{00000000-0000-0000-0000-000000000000}"/>
  <bookViews>
    <workbookView xWindow="4305" yWindow="3975" windowWidth="31530" windowHeight="16905" activeTab="2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  <sheet name="Tabelle1" sheetId="6" r:id="rId6"/>
  </sheets>
  <definedNames>
    <definedName name="_xlnm._FilterDatabase" localSheetId="2" hidden="1">params_region!$A$1:$W$7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3" l="1"/>
  <c r="I4" i="3"/>
  <c r="I5" i="3"/>
  <c r="I6" i="3"/>
  <c r="I7" i="3"/>
  <c r="I2" i="3"/>
  <c r="W7" i="3"/>
  <c r="V7" i="3"/>
  <c r="U7" i="3"/>
  <c r="T7" i="3"/>
  <c r="S7" i="3"/>
  <c r="R7" i="3"/>
  <c r="Q7" i="3"/>
  <c r="P7" i="3"/>
  <c r="W6" i="3"/>
  <c r="V6" i="3"/>
  <c r="U6" i="3"/>
  <c r="T6" i="3"/>
  <c r="S6" i="3"/>
  <c r="R6" i="3"/>
  <c r="Q6" i="3"/>
  <c r="P6" i="3"/>
  <c r="W5" i="3"/>
  <c r="V5" i="3"/>
  <c r="U5" i="3"/>
  <c r="T5" i="3"/>
  <c r="S5" i="3"/>
  <c r="R5" i="3"/>
  <c r="Q5" i="3"/>
  <c r="P5" i="3"/>
  <c r="W4" i="3"/>
  <c r="V4" i="3"/>
  <c r="U4" i="3"/>
  <c r="T4" i="3"/>
  <c r="S4" i="3"/>
  <c r="R4" i="3"/>
  <c r="Q4" i="3"/>
  <c r="P4" i="3"/>
  <c r="W3" i="3"/>
  <c r="V3" i="3"/>
  <c r="U3" i="3"/>
  <c r="T3" i="3"/>
  <c r="S3" i="3"/>
  <c r="R3" i="3"/>
  <c r="Q3" i="3"/>
  <c r="P3" i="3"/>
  <c r="W2" i="3"/>
  <c r="V2" i="3"/>
  <c r="U2" i="3"/>
  <c r="T2" i="3"/>
  <c r="S2" i="3"/>
  <c r="R2" i="3"/>
  <c r="Q2" i="3"/>
  <c r="P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<sst xmlns="http://schemas.openxmlformats.org/spreadsheetml/2006/main" count="70" uniqueCount="52">
  <si>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</si>
  <si>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</si>
  <si>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</si>
  <si>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</si>
  <si>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</si>
  <si>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</si>
  <si>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</si>
  <si>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</si>
  <si>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</si>
  <si>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</si>
  <si>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</si>
  <si>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</si>
  <si>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</t>
  </si>
  <si>
    <t>region_name</t>
  </si>
  <si>
    <t>ch</t>
  </si>
  <si>
    <t>China</t>
  </si>
  <si>
    <t>eu</t>
  </si>
  <si>
    <t>Europe</t>
  </si>
  <si>
    <t>us</t>
  </si>
  <si>
    <t>North America</t>
  </si>
  <si>
    <t>apac</t>
  </si>
  <si>
    <t>Asia (APAC+ROA)</t>
  </si>
  <si>
    <t>af</t>
  </si>
  <si>
    <t>Africa</t>
  </si>
  <si>
    <t>row</t>
  </si>
  <si>
    <t>Rest of World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</si>
  <si>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</si>
  <si>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</si>
  <si>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</si>
  <si>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</si>
  <si>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</si>
  <si>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</si>
  <si>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</si>
  <si>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</si>
  <si>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</si>
  <si>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</si>
  <si>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</si>
  <si>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</si>
  <si>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</si>
  <si>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</si>
  <si>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</si>
  <si>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</si>
  <si>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</si>
  <si>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</si>
  <si>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</si>
  <si>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</si>
  <si>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</si>
  <si>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</si>
  <si>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</si>
  <si>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c_hold_musd_per_gw_per_yr</t>
  </si>
  <si>
    <t>roa</t>
  </si>
  <si>
    <t>g_exp_ub_per_yr_gw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</si>
</sst>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35" name="Text Box 11" hidden="1">
          <a:extLst>
            <a:ext uri="{FF2B5EF4-FFF2-40B4-BE49-F238E27FC236}">
              <a16:creationId xmlns:a16="http://schemas.microsoft.com/office/drawing/2014/main" id="{DA58BB55-35A2-9187-2F9E-435D0532AB7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2" name="AutoShape 11">
          <a:extLst>
            <a:ext uri="{FF2B5EF4-FFF2-40B4-BE49-F238E27FC236}">
              <a16:creationId xmlns:a16="http://schemas.microsoft.com/office/drawing/2014/main" id="{20DB40AD-A801-AFC5-29B1-3FEB6B1D978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3" name="AutoShape 11">
          <a:extLst>
            <a:ext uri="{FF2B5EF4-FFF2-40B4-BE49-F238E27FC236}">
              <a16:creationId xmlns:a16="http://schemas.microsoft.com/office/drawing/2014/main" id="{15032E20-A5F3-B083-8014-3334C15DB9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2F950EA5-5C9E-07B9-A431-6203687B16C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AF077932-AB85-5284-F139-1A17DAC5BD2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37A28031-2919-2EBA-1038-0AB0ED981ED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4AFB1342-4107-852A-346B-EF7E40FB28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B3361DFC-9C6A-3512-24A2-CB9D19AE59B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9610934A-61E7-AFCD-A513-99981C840CF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602025C5-2E30-3980-7139-BCA302E673F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1" name="AutoShape 11">
          <a:extLst>
            <a:ext uri="{FF2B5EF4-FFF2-40B4-BE49-F238E27FC236}">
              <a16:creationId xmlns:a16="http://schemas.microsoft.com/office/drawing/2014/main" id="{6E08AE79-14AE-B6A1-136A-B86C4FF1DC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1371600</xdr:colOff>
      <xdr:row>32</xdr:row>
      <xdr:rowOff>66675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4F95148C-FA07-E8BD-33E4-E4A85662436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627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3" name="AutoShape 11">
          <a:extLst>
            <a:ext uri="{FF2B5EF4-FFF2-40B4-BE49-F238E27FC236}">
              <a16:creationId xmlns:a16="http://schemas.microsoft.com/office/drawing/2014/main" id="{5EAE2465-B2D2-DB0F-102C-8721179D3A1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4" name="AutoShape 11">
          <a:extLst>
            <a:ext uri="{FF2B5EF4-FFF2-40B4-BE49-F238E27FC236}">
              <a16:creationId xmlns:a16="http://schemas.microsoft.com/office/drawing/2014/main" id="{A5F72BF3-E157-8BBA-5332-8560B201DD6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5" name="AutoShape 11">
          <a:extLst>
            <a:ext uri="{FF2B5EF4-FFF2-40B4-BE49-F238E27FC236}">
              <a16:creationId xmlns:a16="http://schemas.microsoft.com/office/drawing/2014/main" id="{EE5849E7-9615-192A-5AE6-B395D7A5F35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1371600</xdr:colOff>
      <xdr:row>32</xdr:row>
      <xdr:rowOff>66675</xdr:rowOff>
    </xdr:to>
    <xdr:sp macro="" textlink="">
      <xdr:nvSpPr>
        <xdr:cNvPr id="16" name="AutoShape 11">
          <a:extLst>
            <a:ext uri="{FF2B5EF4-FFF2-40B4-BE49-F238E27FC236}">
              <a16:creationId xmlns:a16="http://schemas.microsoft.com/office/drawing/2014/main" id="{8411C01E-62C1-ADD4-8278-1034838A370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3534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1371600</xdr:colOff>
      <xdr:row>32</xdr:row>
      <xdr:rowOff>66675</xdr:rowOff>
    </xdr:to>
    <xdr:sp macro="" textlink="">
      <xdr:nvSpPr>
        <xdr:cNvPr id="17" name="AutoShape 11">
          <a:extLst>
            <a:ext uri="{FF2B5EF4-FFF2-40B4-BE49-F238E27FC236}">
              <a16:creationId xmlns:a16="http://schemas.microsoft.com/office/drawing/2014/main" id="{87D27578-1DDD-A5D9-A322-1D8339A3936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3534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</row>
    <row r="3" spans="1:2" x14ac:dyDescent="0.25">
      <c r="A3" t="s">
        <v>3</v>
      </c>
      <c r="B3" t="s">
        <v>4</v>
      </c>
    </row>
    <row r="4" spans="1:2" x14ac:dyDescent="0.25">
      <c r="A4" t="s">
        <v>5</v>
      </c>
    </row>
    <row r="5" spans="1:2" x14ac:dyDescent="0.25">
      <c r="A5" t="s">
        <v>6</v>
      </c>
    </row>
    <row r="6" spans="1:2" x14ac:dyDescent="0.25">
      <c r="A6" t="s">
        <v>7</v>
      </c>
    </row>
    <row r="7" spans="1:2" x14ac:dyDescent="0.25">
      <c r="A7" t="s">
        <v>8</v>
      </c>
    </row>
    <row r="8" spans="1:2" x14ac:dyDescent="0.25">
      <c r="A8" t="s">
        <v>9</v>
      </c>
    </row>
    <row r="9" spans="1:2" x14ac:dyDescent="0.25">
      <c r="A9" t="s">
        <v>10</v>
      </c>
    </row>
    <row r="10" spans="1:2" x14ac:dyDescent="0.25">
      <c r="A10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t="s">
        <v>14</v>
      </c>
      <c r="B2" t="s">
        <v>15</v>
      </c>
    </row>
    <row r="3" spans="1:2" x14ac:dyDescent="0.25">
      <c r="A3" t="s">
        <v>16</v>
      </c>
      <c r="B3" t="s">
        <v>17</v>
      </c>
    </row>
    <row r="4" spans="1:2" x14ac:dyDescent="0.25">
      <c r="A4" t="s">
        <v>18</v>
      </c>
      <c r="B4" t="s">
        <v>19</v>
      </c>
    </row>
    <row r="5" spans="1:2" x14ac:dyDescent="0.25">
      <c r="A5" t="s">
        <v>20</v>
      </c>
      <c r="B5" t="s">
        <v>21</v>
      </c>
    </row>
    <row r="6" spans="1:2" x14ac:dyDescent="0.25">
      <c r="A6" t="s">
        <v>22</v>
      </c>
      <c r="B6" t="s">
        <v>23</v>
      </c>
    </row>
    <row r="7" spans="1:2" x14ac:dyDescent="0.25">
      <c r="A7" t="s">
        <v>24</v>
      </c>
      <c r="B7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tabSelected="1" topLeftCell="F1" workbookViewId="0">
      <selection activeCell="J3" sqref="J3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12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49</v>
      </c>
      <c r="J1" s="2" t="s">
        <v>51</v>
      </c>
      <c r="K1" s="2" t="s">
        <v>33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42</v>
      </c>
      <c r="U1" s="2" t="s">
        <v>43</v>
      </c>
      <c r="V1" s="2" t="s">
        <v>44</v>
      </c>
      <c r="W1" s="2" t="s">
        <v>45</v>
      </c>
    </row>
    <row r="2" spans="1:23" x14ac:dyDescent="0.25">
      <c r="A2" t="s">
        <v>14</v>
      </c>
      <c r="B2">
        <v>931</v>
      </c>
      <c r="C2">
        <v>278</v>
      </c>
      <c r="D2">
        <v>410</v>
      </c>
      <c r="E2">
        <v>540</v>
      </c>
      <c r="F2">
        <v>600</v>
      </c>
      <c r="G2">
        <v>163</v>
      </c>
      <c r="H2">
        <v>50</v>
      </c>
      <c r="I2">
        <f>H2*0.05</f>
        <v>2.5</v>
      </c>
      <c r="J2">
        <v>27.4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0">$N2*(1+1/$O2)</f>
        <v>1100.7755555555555</v>
      </c>
      <c r="Q2" s="5">
        <f t="shared" si="0"/>
        <v>1100.7755555555555</v>
      </c>
      <c r="R2" s="5">
        <f t="shared" si="0"/>
        <v>1100.7755555555555</v>
      </c>
      <c r="S2" s="5">
        <f t="shared" si="0"/>
        <v>1100.7755555555555</v>
      </c>
      <c r="T2" s="6">
        <f t="shared" ref="T2:T7" si="1">$N2/($O2*$C2)</f>
        <v>2.084012789768185</v>
      </c>
      <c r="U2" s="6">
        <f t="shared" ref="U2:U7" si="2">$N2/($O2*$D2)</f>
        <v>1.4130623306233061</v>
      </c>
      <c r="V2" s="6">
        <f t="shared" ref="V2:V7" si="3">$N2/($O2*$E2)</f>
        <v>1.0728806584362138</v>
      </c>
      <c r="W2" s="6">
        <f t="shared" ref="W2:W7" si="4">$N2/($O2*$F2)</f>
        <v>0.96559259259259256</v>
      </c>
    </row>
    <row r="3" spans="1:23" x14ac:dyDescent="0.25">
      <c r="A3" t="s">
        <v>16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299.25</v>
      </c>
      <c r="H3">
        <v>175</v>
      </c>
      <c r="I3">
        <f t="shared" ref="I3:I7" si="5">H3*0.05</f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0"/>
        <v>2042.8166666666666</v>
      </c>
      <c r="Q3" s="5">
        <f t="shared" si="0"/>
        <v>2042.8166666666666</v>
      </c>
      <c r="R3" s="5">
        <f t="shared" si="0"/>
        <v>2042.8166666666666</v>
      </c>
      <c r="S3" s="5">
        <f t="shared" si="0"/>
        <v>2042.8166666666666</v>
      </c>
      <c r="T3" s="6">
        <f t="shared" si="1"/>
        <v>18.226253037237949</v>
      </c>
      <c r="U3" s="6">
        <f t="shared" si="2"/>
        <v>15.811274509803921</v>
      </c>
      <c r="V3" s="6">
        <f t="shared" si="3"/>
        <v>7.4149425287356321</v>
      </c>
      <c r="W3" s="6">
        <f t="shared" si="4"/>
        <v>4.3006666666666664</v>
      </c>
    </row>
    <row r="4" spans="1:23" x14ac:dyDescent="0.25">
      <c r="A4" t="s">
        <v>18</v>
      </c>
      <c r="B4">
        <v>42</v>
      </c>
      <c r="C4">
        <v>38.270000000000003</v>
      </c>
      <c r="D4">
        <v>70</v>
      </c>
      <c r="E4">
        <v>95</v>
      </c>
      <c r="F4">
        <v>115</v>
      </c>
      <c r="G4">
        <v>321.25</v>
      </c>
      <c r="H4">
        <v>175</v>
      </c>
      <c r="I4">
        <f t="shared" si="5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0"/>
        <v>1184.4811111111112</v>
      </c>
      <c r="Q4" s="5">
        <f t="shared" si="0"/>
        <v>1184.4811111111112</v>
      </c>
      <c r="R4" s="5">
        <f t="shared" si="0"/>
        <v>1184.4811111111112</v>
      </c>
      <c r="S4" s="5">
        <f t="shared" si="0"/>
        <v>1184.4811111111112</v>
      </c>
      <c r="T4" s="6">
        <f t="shared" si="1"/>
        <v>16.289812153412885</v>
      </c>
      <c r="U4" s="6">
        <f t="shared" si="2"/>
        <v>8.9058730158730164</v>
      </c>
      <c r="V4" s="6">
        <f t="shared" si="3"/>
        <v>6.5622222222222231</v>
      </c>
      <c r="W4" s="6">
        <f t="shared" si="4"/>
        <v>5.4209661835748797</v>
      </c>
    </row>
    <row r="5" spans="1:23" x14ac:dyDescent="0.25">
      <c r="A5" t="s">
        <v>50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265.75</v>
      </c>
      <c r="H5">
        <v>57.5</v>
      </c>
      <c r="I5">
        <f t="shared" si="5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0"/>
        <v>1127.6288888888889</v>
      </c>
      <c r="Q5" s="5">
        <f t="shared" si="0"/>
        <v>1127.6288888888889</v>
      </c>
      <c r="R5" s="5">
        <f t="shared" si="0"/>
        <v>1127.6288888888889</v>
      </c>
      <c r="S5" s="5">
        <f t="shared" si="0"/>
        <v>1127.6288888888889</v>
      </c>
      <c r="T5" s="6">
        <f t="shared" si="1"/>
        <v>12.092275649732862</v>
      </c>
      <c r="U5" s="6">
        <f t="shared" si="2"/>
        <v>2.046513409961686</v>
      </c>
      <c r="V5" s="6">
        <f t="shared" si="3"/>
        <v>1.5826370370370371</v>
      </c>
      <c r="W5" s="6">
        <f t="shared" si="4"/>
        <v>1.2901932367149758</v>
      </c>
    </row>
    <row r="6" spans="1:23" x14ac:dyDescent="0.25">
      <c r="A6" t="s">
        <v>22</v>
      </c>
      <c r="B6">
        <v>3.4</v>
      </c>
      <c r="C6">
        <v>18.2</v>
      </c>
      <c r="D6">
        <v>33</v>
      </c>
      <c r="E6">
        <v>62</v>
      </c>
      <c r="F6">
        <v>90</v>
      </c>
      <c r="G6">
        <v>180.93</v>
      </c>
      <c r="H6">
        <v>150</v>
      </c>
      <c r="I6">
        <f t="shared" si="5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0"/>
        <v>2397.3777777777777</v>
      </c>
      <c r="Q6" s="5">
        <f t="shared" si="0"/>
        <v>2397.3777777777777</v>
      </c>
      <c r="R6" s="5">
        <f t="shared" si="0"/>
        <v>2397.3777777777777</v>
      </c>
      <c r="S6" s="5">
        <f t="shared" si="0"/>
        <v>2397.3777777777777</v>
      </c>
      <c r="T6" s="6">
        <f t="shared" si="1"/>
        <v>69.328449328449324</v>
      </c>
      <c r="U6" s="6">
        <f t="shared" si="2"/>
        <v>38.235690235690235</v>
      </c>
      <c r="V6" s="6">
        <f t="shared" si="3"/>
        <v>20.351254480286734</v>
      </c>
      <c r="W6" s="6">
        <f t="shared" si="4"/>
        <v>14.019753086419753</v>
      </c>
    </row>
    <row r="7" spans="1:23" x14ac:dyDescent="0.25">
      <c r="A7" t="s">
        <v>24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353.38</v>
      </c>
      <c r="H7">
        <v>125</v>
      </c>
      <c r="I7">
        <f t="shared" si="5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0"/>
        <v>2046.7644444444445</v>
      </c>
      <c r="Q7" s="5">
        <f t="shared" si="0"/>
        <v>2046.7644444444445</v>
      </c>
      <c r="R7" s="5">
        <f t="shared" si="0"/>
        <v>2046.7644444444445</v>
      </c>
      <c r="S7" s="5">
        <f t="shared" si="0"/>
        <v>2046.7644444444445</v>
      </c>
      <c r="T7" s="6">
        <f t="shared" si="1"/>
        <v>39.016459414865786</v>
      </c>
      <c r="U7" s="6">
        <f t="shared" si="2"/>
        <v>11.895367098547309</v>
      </c>
      <c r="V7" s="6">
        <f t="shared" si="3"/>
        <v>8.2864957264957262</v>
      </c>
      <c r="W7" s="6">
        <f t="shared" si="4"/>
        <v>5.9846913580246914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  <c r="C12" s="4"/>
    </row>
    <row r="13" spans="1:23" ht="30.6" customHeight="1" x14ac:dyDescent="0.25">
      <c r="A13" s="4"/>
      <c r="C13" s="4"/>
    </row>
    <row r="14" spans="1:23" x14ac:dyDescent="0.25">
      <c r="A14" s="4"/>
      <c r="C14" s="2"/>
      <c r="D14" s="2"/>
    </row>
    <row r="15" spans="1:23" x14ac:dyDescent="0.25">
      <c r="A15" s="4"/>
    </row>
    <row r="16" spans="1:23" x14ac:dyDescent="0.25">
      <c r="A16" s="4"/>
    </row>
    <row r="24" spans="18:21" x14ac:dyDescent="0.25">
      <c r="R24" s="3"/>
    </row>
    <row r="25" spans="18:21" x14ac:dyDescent="0.25">
      <c r="R25" s="3"/>
    </row>
    <row r="26" spans="18:21" x14ac:dyDescent="0.25">
      <c r="R26" s="3"/>
      <c r="S26" s="3"/>
      <c r="T26" s="3"/>
      <c r="U26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baseColWidth="10" defaultColWidth="9.140625" defaultRowHeight="15" x14ac:dyDescent="0.25"/>
  <sheetData>
    <row r="1" spans="1:7" x14ac:dyDescent="0.25">
      <c r="A1" t="s">
        <v>46</v>
      </c>
      <c r="B1" t="s">
        <v>14</v>
      </c>
      <c r="C1" t="s">
        <v>16</v>
      </c>
      <c r="D1" t="s">
        <v>18</v>
      </c>
      <c r="E1" t="s">
        <v>20</v>
      </c>
      <c r="F1" t="s">
        <v>22</v>
      </c>
      <c r="G1" t="s">
        <v>24</v>
      </c>
    </row>
    <row r="2" spans="1:7" x14ac:dyDescent="0.25">
      <c r="A2" t="s">
        <v>14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25">
      <c r="A3" t="s">
        <v>16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25">
      <c r="A4" t="s">
        <v>18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25">
      <c r="A5" t="s">
        <v>20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25">
      <c r="A6" t="s">
        <v>22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25">
      <c r="A7" t="s">
        <v>24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s="1" t="s">
        <v>47</v>
      </c>
    </row>
    <row r="2" spans="1:1" x14ac:dyDescent="0.25">
      <c r="A2" t="s">
        <v>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F6B1E-E1AD-4789-BB0A-188C512086A4}">
  <dimension ref="C8:C13"/>
  <sheetViews>
    <sheetView workbookViewId="0">
      <selection activeCell="C8" sqref="C8:C13"/>
    </sheetView>
  </sheetViews>
  <sheetFormatPr baseColWidth="10" defaultRowHeight="15" x14ac:dyDescent="0.25"/>
  <sheetData>
    <row r="8" spans="3:3" x14ac:dyDescent="0.25">
      <c r="C8">
        <v>27.4</v>
      </c>
    </row>
    <row r="9" spans="3:3" x14ac:dyDescent="0.25">
      <c r="C9">
        <v>3.6</v>
      </c>
    </row>
    <row r="10" spans="3:3" x14ac:dyDescent="0.25">
      <c r="C10">
        <v>14.5</v>
      </c>
    </row>
    <row r="11" spans="3:3" x14ac:dyDescent="0.25">
      <c r="C11">
        <v>3.2479999999999989</v>
      </c>
    </row>
    <row r="12" spans="3:3" x14ac:dyDescent="0.25">
      <c r="C12">
        <v>0.2</v>
      </c>
    </row>
    <row r="13" spans="3:3" x14ac:dyDescent="0.25">
      <c r="C13">
        <v>8.6799999999999962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settings</vt:lpstr>
      <vt:lpstr>regions</vt:lpstr>
      <vt:lpstr>params_region</vt:lpstr>
      <vt:lpstr>c_ship</vt:lpstr>
      <vt:lpstr>README</vt:lpstr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Alexander Csekoe</cp:lastModifiedBy>
  <dcterms:modified xsi:type="dcterms:W3CDTF">2026-03-28T11:47:32Z</dcterms:modified>
</cp:coreProperties>
</file>